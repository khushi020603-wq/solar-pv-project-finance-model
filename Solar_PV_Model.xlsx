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Technical Parameters" sheetId="2" state="visible" r:id="rId4"/>
    <sheet name="Calculations" sheetId="3" state="visible" r:id="rId5"/>
  </sheets>
  <definedNames>
    <definedName function="false" hidden="false" name="CapacityFactor" vbProcedure="false">Inputs!$E$16</definedName>
    <definedName function="false" hidden="false" name="Capacity_MW" vbProcedure="false">Inputs!$E$14</definedName>
    <definedName function="false" hidden="false" name="ConstructionEndDate" vbProcedure="false">Inputs!$E$7</definedName>
    <definedName function="false" hidden="false" name="ConstructionStartDate" vbProcedure="false">Inputs!$E$6</definedName>
    <definedName function="false" hidden="false" name="CostPerKW" vbProcedure="false">Inputs!$E$15</definedName>
    <definedName function="false" hidden="false" name="DebtClosingCostPct" vbProcedure="false">Inputs!$E$20</definedName>
    <definedName function="false" hidden="false" name="DebtPct" vbProcedure="false">Inputs!$E$18</definedName>
    <definedName function="false" hidden="false" name="DebtTenorYears" vbProcedure="false">Inputs!$E$34</definedName>
    <definedName function="false" hidden="false" name="DepreciationRateQtrly" vbProcedure="false">Inputs!$E$40</definedName>
    <definedName function="false" hidden="false" name="DepreciationYears" vbProcedure="false">Inputs!$E$35</definedName>
    <definedName function="false" hidden="false" name="EquityHurdleRate" vbProcedure="false">Inputs!$E$38</definedName>
    <definedName function="false" hidden="false" name="HoursPerYear" vbProcedure="false">'Technical Parameters'!$E$7</definedName>
    <definedName function="false" hidden="false" name="InsurancePct" vbProcedure="false">Inputs!$E$22</definedName>
    <definedName function="false" hidden="false" name="InterestRate" vbProcedure="false">Inputs!$E$33</definedName>
    <definedName function="false" hidden="false" name="LandLeasePerYear" vbProcedure="false">Inputs!$E$23</definedName>
    <definedName function="false" hidden="false" name="ModelStartDate" vbProcedure="false">Inputs!$E$5</definedName>
    <definedName function="false" hidden="false" name="MonthsPerQuarter" vbProcedure="false">'Technical Parameters'!$E$5</definedName>
    <definedName function="false" hidden="false" name="MonthsPerYear" vbProcedure="false">'Technical Parameters'!$E$6</definedName>
    <definedName function="false" hidden="false" name="OMCostPerKWYear" vbProcedure="false">Inputs!$E$21</definedName>
    <definedName function="false" hidden="false" name="OperationsEndDate" vbProcedure="false">Inputs!$E$10</definedName>
    <definedName function="false" hidden="false" name="OperationsLifeYears" vbProcedure="false">Inputs!$E$9</definedName>
    <definedName function="false" hidden="false" name="OperationsStartDate" vbProcedure="false">Inputs!$E$8</definedName>
    <definedName function="false" hidden="false" name="PeriodLengthMonths" vbProcedure="false">Inputs!$E$29</definedName>
    <definedName function="false" hidden="false" name="PricePerMWh" vbProcedure="false">Inputs!$E$17</definedName>
    <definedName function="false" hidden="false" name="ProjectHurdleRate" vbProcedure="false">Inputs!$E$39</definedName>
    <definedName function="false" hidden="false" name="QuartersPerYear" vbProcedure="false">'Technical Parameters'!$E$8</definedName>
    <definedName function="false" hidden="false" name="TaxRate" vbProcedure="false">Inputs!$E$36</definedName>
    <definedName function="false" hidden="false" name="TotalCapEx" vbProcedure="false">Inputs!$E$24</definedName>
    <definedName function="false" hidden="false" name="TotalDebt" vbProcedure="false">Inputs!$E$25</definedName>
    <definedName function="false" hidden="false" name="UpfrontFeePct" vbProcedure="false">Inputs!$E$19</definedName>
    <definedName function="false" hidden="false" name="WACC" vbProcedure="false">Inputs!$E$37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<sst xmlns="http://schemas.openxmlformats.org/spreadsheetml/2006/main" count="200" uniqueCount="129">
  <si>
    <t xml:space="preserve">INPUTS</t>
  </si>
  <si>
    <t xml:space="preserve">MODEL TIMING</t>
  </si>
  <si>
    <t xml:space="preserve">Model Start Date</t>
  </si>
  <si>
    <t xml:space="preserve">Construction Start Date</t>
  </si>
  <si>
    <t xml:space="preserve">Construction End Date</t>
  </si>
  <si>
    <t xml:space="preserve">Operations Start Date</t>
  </si>
  <si>
    <t xml:space="preserve">Operations Life (Years)</t>
  </si>
  <si>
    <t xml:space="preserve">Operations End Date</t>
  </si>
  <si>
    <t xml:space="preserve">PROJECT ECONOMICS</t>
  </si>
  <si>
    <t xml:space="preserve">Plant Capacity</t>
  </si>
  <si>
    <t xml:space="preserve">MW</t>
  </si>
  <si>
    <t xml:space="preserve">Cost per kW</t>
  </si>
  <si>
    <t xml:space="preserve">Rs per kW</t>
  </si>
  <si>
    <t xml:space="preserve">Capacity Factor</t>
  </si>
  <si>
    <t xml:space="preserve">%</t>
  </si>
  <si>
    <t xml:space="preserve">Price per MWh</t>
  </si>
  <si>
    <t xml:space="preserve">Rs per MWh</t>
  </si>
  <si>
    <t xml:space="preserve">Debt %</t>
  </si>
  <si>
    <t xml:space="preserve">Upfront Fee %</t>
  </si>
  <si>
    <t xml:space="preserve">% of Debt</t>
  </si>
  <si>
    <t xml:space="preserve">Debt Closing Cost %</t>
  </si>
  <si>
    <t xml:space="preserve">O&amp;M Cost</t>
  </si>
  <si>
    <t xml:space="preserve">Rs per kW per yr</t>
  </si>
  <si>
    <t xml:space="preserve">Insurance</t>
  </si>
  <si>
    <t xml:space="preserve">% of CapEx per yr</t>
  </si>
  <si>
    <t xml:space="preserve">Land Lease</t>
  </si>
  <si>
    <t xml:space="preserve">Rs per yr</t>
  </si>
  <si>
    <t xml:space="preserve">Total CapEx</t>
  </si>
  <si>
    <t xml:space="preserve">Rs</t>
  </si>
  <si>
    <t xml:space="preserve">Total Debt</t>
  </si>
  <si>
    <t xml:space="preserve">INTERVAL PARAMETERS</t>
  </si>
  <si>
    <t xml:space="preserve">Period Length</t>
  </si>
  <si>
    <t xml:space="preserve">months (linked from Technical Parameters)</t>
  </si>
  <si>
    <t xml:space="preserve">FINANCING &amp; TAX</t>
  </si>
  <si>
    <t xml:space="preserve">Interest Rate (on debt)</t>
  </si>
  <si>
    <t xml:space="preserve">% p.a.</t>
  </si>
  <si>
    <t xml:space="preserve">Debt Tenor</t>
  </si>
  <si>
    <t xml:space="preserve">years</t>
  </si>
  <si>
    <t xml:space="preserve">Depreciation Life</t>
  </si>
  <si>
    <t xml:space="preserve">Tax Rate</t>
  </si>
  <si>
    <t xml:space="preserve">Discount Rate (WACC)</t>
  </si>
  <si>
    <t xml:space="preserve">Equity Hurdle Rate</t>
  </si>
  <si>
    <t xml:space="preserve">Project Hurdle Rate</t>
  </si>
  <si>
    <t xml:space="preserve">Depreciation Rate (quarterly)</t>
  </si>
  <si>
    <t xml:space="preserve">% of CapEx per quarter</t>
  </si>
  <si>
    <t xml:space="preserve">TECHNICAL PARAMETERS</t>
  </si>
  <si>
    <t xml:space="preserve">CONSTANTS</t>
  </si>
  <si>
    <t xml:space="preserve">Months per Quarter</t>
  </si>
  <si>
    <t xml:space="preserve">months</t>
  </si>
  <si>
    <t xml:space="preserve">Months per Year</t>
  </si>
  <si>
    <t xml:space="preserve">Hours per Year</t>
  </si>
  <si>
    <t xml:space="preserve">hours</t>
  </si>
  <si>
    <t xml:space="preserve">Quarters per Year</t>
  </si>
  <si>
    <t xml:space="preserve">quarters</t>
  </si>
  <si>
    <t xml:space="preserve">Calculations</t>
  </si>
  <si>
    <t xml:space="preserve">PROJECT PHASES (linked from Inputs)</t>
  </si>
  <si>
    <t xml:space="preserve">Construction Phase</t>
  </si>
  <si>
    <t xml:space="preserve">Start Date</t>
  </si>
  <si>
    <t xml:space="preserve">End Date</t>
  </si>
  <si>
    <t xml:space="preserve">Operation Phase</t>
  </si>
  <si>
    <t xml:space="preserve">TIMELINE</t>
  </si>
  <si>
    <t xml:space="preserve">Unit</t>
  </si>
  <si>
    <t xml:space="preserve">Total</t>
  </si>
  <si>
    <t xml:space="preserve">Period Start Date</t>
  </si>
  <si>
    <t xml:space="preserve">Period End Date</t>
  </si>
  <si>
    <t xml:space="preserve">Construction Flag</t>
  </si>
  <si>
    <t xml:space="preserve">Operation Flag</t>
  </si>
  <si>
    <t xml:space="preserve">MAIN CALCULATIONS</t>
  </si>
  <si>
    <t xml:space="preserve">Production &amp; Investment</t>
  </si>
  <si>
    <t xml:space="preserve">Production</t>
  </si>
  <si>
    <t xml:space="preserve">MWh</t>
  </si>
  <si>
    <t xml:space="preserve">Upfront Fee</t>
  </si>
  <si>
    <t xml:space="preserve">Debt Closing Costs</t>
  </si>
  <si>
    <t xml:space="preserve">CapEx</t>
  </si>
  <si>
    <t xml:space="preserve">Funding - Equity</t>
  </si>
  <si>
    <t xml:space="preserve">Funding - Debt</t>
  </si>
  <si>
    <t xml:space="preserve">Operating Activities</t>
  </si>
  <si>
    <t xml:space="preserve">Revenue</t>
  </si>
  <si>
    <t xml:space="preserve">OpEx - O&amp;M</t>
  </si>
  <si>
    <t xml:space="preserve">OpEx - Insurance</t>
  </si>
  <si>
    <t xml:space="preserve">OpEx - Land Lease</t>
  </si>
  <si>
    <t xml:space="preserve">Total OpEx</t>
  </si>
  <si>
    <t xml:space="preserve">EBITDA</t>
  </si>
  <si>
    <t xml:space="preserve">Debt Service &amp; CFADS</t>
  </si>
  <si>
    <t xml:space="preserve">Tax Paid</t>
  </si>
  <si>
    <t xml:space="preserve">CFADS</t>
  </si>
  <si>
    <t xml:space="preserve">Interest</t>
  </si>
  <si>
    <t xml:space="preserve">Principal</t>
  </si>
  <si>
    <t xml:space="preserve">Total Debt Service</t>
  </si>
  <si>
    <t xml:space="preserve">DSCR</t>
  </si>
  <si>
    <t xml:space="preserve">x</t>
  </si>
  <si>
    <t xml:space="preserve">Cash Flow Available for Equity</t>
  </si>
  <si>
    <t xml:space="preserve">Returns</t>
  </si>
  <si>
    <t xml:space="preserve">Project Cash Flow - Unlevered</t>
  </si>
  <si>
    <t xml:space="preserve">Equity Cash Flow - Levered</t>
  </si>
  <si>
    <t xml:space="preserve">Cumulative Equity Cash Flow</t>
  </si>
  <si>
    <t xml:space="preserve">SUPPORTING CALCULATIONS</t>
  </si>
  <si>
    <t xml:space="preserve">Debt Schedule</t>
  </si>
  <si>
    <t xml:space="preserve">Debt Flag</t>
  </si>
  <si>
    <t xml:space="preserve">T/F</t>
  </si>
  <si>
    <t xml:space="preserve">Opening Balance</t>
  </si>
  <si>
    <t xml:space="preserve">0</t>
  </si>
  <si>
    <t xml:space="preserve">Debt Drawn</t>
  </si>
  <si>
    <t xml:space="preserve">Principal Repayment</t>
  </si>
  <si>
    <t xml:space="preserve">Closing Balance</t>
  </si>
  <si>
    <t xml:space="preserve">Depreciation (Asset Account)</t>
  </si>
  <si>
    <t xml:space="preserve">Additions (from CapEx)</t>
  </si>
  <si>
    <t xml:space="preserve">Depreciation</t>
  </si>
  <si>
    <t xml:space="preserve">Tax - Ungeared (for Project IRR)</t>
  </si>
  <si>
    <t xml:space="preserve">Taxable Income (before Loss C/F)</t>
  </si>
  <si>
    <t xml:space="preserve">Loss Carried Forward - Opening</t>
  </si>
  <si>
    <t xml:space="preserve">Taxable Income (after Loss C/F)</t>
  </si>
  <si>
    <t xml:space="preserve">Tax Payable</t>
  </si>
  <si>
    <t xml:space="preserve">Loss Carried Forward - Closing</t>
  </si>
  <si>
    <t xml:space="preserve">Tax - Geared (Actual, feeds CFADS)</t>
  </si>
  <si>
    <t xml:space="preserve">LCOE Support</t>
  </si>
  <si>
    <t xml:space="preserve">Ungeared Cost Stream</t>
  </si>
  <si>
    <t xml:space="preserve">Geared Cost Stream</t>
  </si>
  <si>
    <t xml:space="preserve">METRICS</t>
  </si>
  <si>
    <t xml:space="preserve">Project IRR (Unlevered)</t>
  </si>
  <si>
    <t xml:space="preserve">Equity IRR (Levered)</t>
  </si>
  <si>
    <t xml:space="preserve">Average DSCR</t>
  </si>
  <si>
    <t xml:space="preserve">Minimum DSCR</t>
  </si>
  <si>
    <t xml:space="preserve">LCOE - Ungeared</t>
  </si>
  <si>
    <t xml:space="preserve">Rs/MWh</t>
  </si>
  <si>
    <t xml:space="preserve">LCOE - Geared</t>
  </si>
  <si>
    <t xml:space="preserve">LPPA (validation check)</t>
  </si>
  <si>
    <t xml:space="preserve">Equity NPV (XNPV)</t>
  </si>
  <si>
    <t xml:space="preserve">Project NPV (XNPV)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</si>
</sst>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 mmmm\ yy"/>
    <numFmt numFmtId="166" formatCode="0.0%"/>
    <numFmt numFmtId="167" formatCode="#,##0"/>
    <numFmt numFmtId="168" formatCode="General"/>
    <numFmt numFmtId="169" formatCode="0.00%"/>
    <numFmt numFmtId="170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7A33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9"/>
      <color rgb="FFFFFFFF"/>
      <name val="Cambria"/>
      <family val="0"/>
      <charset val="1"/>
    </font>
    <font>
      <b val="true"/>
      <sz val="10"/>
      <name val="Arial"/>
      <family val="0"/>
      <charset val="1"/>
    </font>
    <font>
      <b val="true"/>
      <i val="true"/>
      <sz val="10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808080"/>
        <sz val="1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0" topLeftCell="F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3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10"/>
  </cols>
  <sheetData>
    <row r="1" customFormat="false" ht="17.25" hidden="false" customHeight="true" outlineLevel="0" collapsed="false">
      <c r="D1" s="2" t="s">
        <v>0</v>
      </c>
    </row>
    <row r="3" customFormat="false" ht="15" hidden="false" customHeight="true" outlineLevel="0" collapsed="false">
      <c r="D3" s="3" t="s">
        <v>1</v>
      </c>
    </row>
    <row r="5" customFormat="false" ht="15" hidden="false" customHeight="true" outlineLevel="0" collapsed="false">
      <c r="D5" s="1" t="s">
        <v>2</v>
      </c>
      <c r="E5" s="4" t="n">
        <v>45292</v>
      </c>
    </row>
    <row r="6" customFormat="false" ht="15" hidden="false" customHeight="true" outlineLevel="0" collapsed="false">
      <c r="D6" s="1" t="s">
        <v>3</v>
      </c>
      <c r="E6" s="4" t="n">
        <v>45292</v>
      </c>
    </row>
    <row r="7" customFormat="false" ht="15" hidden="false" customHeight="true" outlineLevel="0" collapsed="false">
      <c r="D7" s="1" t="s">
        <v>4</v>
      </c>
      <c r="E7" s="4" t="n">
        <v>45657</v>
      </c>
    </row>
    <row r="8" customFormat="false" ht="15" hidden="false" customHeight="true" outlineLevel="0" collapsed="false">
      <c r="D8" s="1" t="s">
        <v>5</v>
      </c>
      <c r="E8" s="5" t="n">
        <f aca="false">ConstructionEndDate+1</f>
        <v>45658</v>
      </c>
    </row>
    <row r="9" customFormat="false" ht="15" hidden="false" customHeight="true" outlineLevel="0" collapsed="false">
      <c r="D9" s="1" t="s">
        <v>6</v>
      </c>
      <c r="E9" s="6" t="n">
        <v>30</v>
      </c>
    </row>
    <row r="10" customFormat="false" ht="15" hidden="false" customHeight="true" outlineLevel="0" collapsed="false">
      <c r="D10" s="1" t="s">
        <v>7</v>
      </c>
      <c r="E10" s="5" t="n">
        <f aca="false">EOMONTH(OperationsStartDate,OperationsLifeYears*12-1)</f>
        <v>56614</v>
      </c>
    </row>
    <row r="12" customFormat="false" ht="15" hidden="false" customHeight="true" outlineLevel="0" collapsed="false">
      <c r="D12" s="3" t="s">
        <v>8</v>
      </c>
    </row>
    <row r="14" customFormat="false" ht="15" hidden="false" customHeight="true" outlineLevel="0" collapsed="false">
      <c r="D14" s="1" t="s">
        <v>9</v>
      </c>
      <c r="E14" s="6" t="n">
        <v>10</v>
      </c>
      <c r="F14" s="7" t="s">
        <v>10</v>
      </c>
    </row>
    <row r="15" customFormat="false" ht="15" hidden="false" customHeight="true" outlineLevel="0" collapsed="false">
      <c r="D15" s="1" t="s">
        <v>11</v>
      </c>
      <c r="E15" s="6" t="n">
        <v>45000</v>
      </c>
      <c r="F15" s="7" t="s">
        <v>12</v>
      </c>
    </row>
    <row r="16" customFormat="false" ht="15" hidden="false" customHeight="true" outlineLevel="0" collapsed="false">
      <c r="D16" s="1" t="s">
        <v>13</v>
      </c>
      <c r="E16" s="8" t="n">
        <v>0.2</v>
      </c>
      <c r="F16" s="7" t="s">
        <v>14</v>
      </c>
    </row>
    <row r="17" customFormat="false" ht="15" hidden="false" customHeight="true" outlineLevel="0" collapsed="false">
      <c r="D17" s="1" t="s">
        <v>15</v>
      </c>
      <c r="E17" s="6" t="n">
        <v>3000</v>
      </c>
      <c r="F17" s="7" t="s">
        <v>16</v>
      </c>
    </row>
    <row r="18" customFormat="false" ht="15" hidden="false" customHeight="true" outlineLevel="0" collapsed="false">
      <c r="D18" s="1" t="s">
        <v>17</v>
      </c>
      <c r="E18" s="8" t="n">
        <v>0.6</v>
      </c>
      <c r="F18" s="7" t="s">
        <v>14</v>
      </c>
    </row>
    <row r="19" customFormat="false" ht="15" hidden="false" customHeight="true" outlineLevel="0" collapsed="false">
      <c r="D19" s="1" t="s">
        <v>18</v>
      </c>
      <c r="E19" s="8" t="n">
        <v>0.01</v>
      </c>
      <c r="F19" s="7" t="s">
        <v>19</v>
      </c>
    </row>
    <row r="20" customFormat="false" ht="15" hidden="false" customHeight="true" outlineLevel="0" collapsed="false">
      <c r="D20" s="1" t="s">
        <v>20</v>
      </c>
      <c r="E20" s="8" t="n">
        <v>0.015</v>
      </c>
      <c r="F20" s="7" t="s">
        <v>19</v>
      </c>
    </row>
    <row r="21" customFormat="false" ht="15" hidden="false" customHeight="true" outlineLevel="0" collapsed="false">
      <c r="D21" s="1" t="s">
        <v>21</v>
      </c>
      <c r="E21" s="6" t="n">
        <v>900</v>
      </c>
      <c r="F21" s="7" t="s">
        <v>22</v>
      </c>
    </row>
    <row r="22" customFormat="false" ht="15" hidden="false" customHeight="true" outlineLevel="0" collapsed="false">
      <c r="D22" s="1" t="s">
        <v>23</v>
      </c>
      <c r="E22" s="8" t="n">
        <v>0.005</v>
      </c>
      <c r="F22" s="7" t="s">
        <v>24</v>
      </c>
    </row>
    <row r="23" customFormat="false" ht="15" hidden="false" customHeight="true" outlineLevel="0" collapsed="false">
      <c r="D23" s="1" t="s">
        <v>25</v>
      </c>
      <c r="E23" s="6" t="n">
        <v>2000000</v>
      </c>
      <c r="F23" s="7" t="s">
        <v>26</v>
      </c>
    </row>
    <row r="24" customFormat="false" ht="15" hidden="false" customHeight="true" outlineLevel="0" collapsed="false">
      <c r="D24" s="1" t="s">
        <v>27</v>
      </c>
      <c r="E24" s="9" t="n">
        <f aca="false">Capacity_MW*1000*CostPerKW</f>
        <v>450000000</v>
      </c>
      <c r="F24" s="7" t="s">
        <v>28</v>
      </c>
    </row>
    <row r="25" customFormat="false" ht="15" hidden="false" customHeight="true" outlineLevel="0" collapsed="false">
      <c r="D25" s="1" t="s">
        <v>29</v>
      </c>
      <c r="E25" s="9" t="n">
        <f aca="false">TotalCapEx*DebtPct</f>
        <v>270000000</v>
      </c>
      <c r="F25" s="7" t="s">
        <v>28</v>
      </c>
    </row>
    <row r="27" customFormat="false" ht="15" hidden="false" customHeight="true" outlineLevel="0" collapsed="false">
      <c r="D27" s="3" t="s">
        <v>30</v>
      </c>
    </row>
    <row r="29" customFormat="false" ht="15" hidden="false" customHeight="true" outlineLevel="0" collapsed="false">
      <c r="D29" s="1" t="s">
        <v>31</v>
      </c>
      <c r="E29" s="10" t="n">
        <f aca="false">MonthsPerQuarter</f>
        <v>3</v>
      </c>
      <c r="F29" s="7" t="s">
        <v>32</v>
      </c>
    </row>
    <row r="31" customFormat="false" ht="15" hidden="false" customHeight="true" outlineLevel="0" collapsed="false">
      <c r="D31" s="3" t="s">
        <v>33</v>
      </c>
    </row>
    <row r="33" customFormat="false" ht="15" hidden="false" customHeight="true" outlineLevel="0" collapsed="false">
      <c r="D33" s="1" t="s">
        <v>34</v>
      </c>
      <c r="E33" s="8" t="n">
        <v>0.09</v>
      </c>
      <c r="F33" s="7" t="s">
        <v>35</v>
      </c>
    </row>
    <row r="34" customFormat="false" ht="15" hidden="false" customHeight="true" outlineLevel="0" collapsed="false">
      <c r="D34" s="1" t="s">
        <v>36</v>
      </c>
      <c r="E34" s="6" t="n">
        <v>15</v>
      </c>
      <c r="F34" s="7" t="s">
        <v>37</v>
      </c>
    </row>
    <row r="35" customFormat="false" ht="15" hidden="false" customHeight="true" outlineLevel="0" collapsed="false">
      <c r="D35" s="1" t="s">
        <v>38</v>
      </c>
      <c r="E35" s="6" t="n">
        <v>25</v>
      </c>
      <c r="F35" s="7" t="s">
        <v>37</v>
      </c>
    </row>
    <row r="36" customFormat="false" ht="15" hidden="false" customHeight="true" outlineLevel="0" collapsed="false">
      <c r="D36" s="1" t="s">
        <v>39</v>
      </c>
      <c r="E36" s="8" t="n">
        <v>0.25</v>
      </c>
      <c r="F36" s="7" t="s">
        <v>14</v>
      </c>
    </row>
    <row r="37" customFormat="false" ht="15" hidden="false" customHeight="true" outlineLevel="0" collapsed="false">
      <c r="D37" s="1" t="s">
        <v>40</v>
      </c>
      <c r="E37" s="8" t="n">
        <v>0.08</v>
      </c>
      <c r="F37" s="7" t="s">
        <v>35</v>
      </c>
    </row>
    <row r="38" customFormat="false" ht="15" hidden="false" customHeight="true" outlineLevel="0" collapsed="false">
      <c r="D38" s="1" t="s">
        <v>41</v>
      </c>
      <c r="E38" s="8" t="n">
        <v>0.06</v>
      </c>
      <c r="F38" s="7" t="s">
        <v>35</v>
      </c>
    </row>
    <row r="39" customFormat="false" ht="15" hidden="false" customHeight="true" outlineLevel="0" collapsed="false">
      <c r="D39" s="1" t="s">
        <v>42</v>
      </c>
      <c r="E39" s="8" t="n">
        <v>0.045</v>
      </c>
      <c r="F39" s="7" t="s">
        <v>35</v>
      </c>
    </row>
    <row r="40" customFormat="false" ht="15" hidden="false" customHeight="true" outlineLevel="0" collapsed="false">
      <c r="D40" s="1" t="s">
        <v>43</v>
      </c>
      <c r="E40" s="11" t="n">
        <f aca="false">1/(DepreciationYears*QuartersPerYear)</f>
        <v>0.01</v>
      </c>
      <c r="F40" s="7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0" topLeftCell="F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3"/>
    <col collapsed="false" customWidth="true" hidden="false" outlineLevel="0" max="4" min="4" style="1" width="26"/>
    <col collapsed="false" customWidth="true" hidden="false" outlineLevel="0" max="6" min="5" style="1" width="12"/>
  </cols>
  <sheetData>
    <row r="1" customFormat="false" ht="17.25" hidden="false" customHeight="true" outlineLevel="0" collapsed="false">
      <c r="D1" s="2" t="s">
        <v>45</v>
      </c>
    </row>
    <row r="3" customFormat="false" ht="15" hidden="false" customHeight="true" outlineLevel="0" collapsed="false">
      <c r="D3" s="3" t="s">
        <v>46</v>
      </c>
    </row>
    <row r="5" customFormat="false" ht="15" hidden="false" customHeight="true" outlineLevel="0" collapsed="false">
      <c r="D5" s="1" t="s">
        <v>47</v>
      </c>
      <c r="E5" s="6" t="n">
        <v>3</v>
      </c>
      <c r="F5" s="7" t="s">
        <v>48</v>
      </c>
    </row>
    <row r="6" customFormat="false" ht="15" hidden="false" customHeight="true" outlineLevel="0" collapsed="false">
      <c r="D6" s="1" t="s">
        <v>49</v>
      </c>
      <c r="E6" s="6" t="n">
        <v>12</v>
      </c>
      <c r="F6" s="7" t="s">
        <v>48</v>
      </c>
    </row>
    <row r="7" customFormat="false" ht="15" hidden="false" customHeight="true" outlineLevel="0" collapsed="false">
      <c r="D7" s="1" t="s">
        <v>50</v>
      </c>
      <c r="E7" s="6" t="n">
        <v>8760</v>
      </c>
      <c r="F7" s="7" t="s">
        <v>51</v>
      </c>
    </row>
    <row r="8" customFormat="false" ht="15" hidden="false" customHeight="true" outlineLevel="0" collapsed="false">
      <c r="D8" s="1" t="s">
        <v>52</v>
      </c>
      <c r="E8" s="12" t="n">
        <f aca="false">MonthsPerYear/MonthsPerQuarter</f>
        <v>4</v>
      </c>
      <c r="F8" s="7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K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3" topLeftCell="H14" activePane="bottomRight" state="frozen"/>
      <selection pane="topLeft" activeCell="A1" activeCellId="0" sqref="A1"/>
      <selection pane="topRight" activeCell="H1" activeCellId="0" sqref="H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3"/>
    <col collapsed="false" customWidth="true" hidden="false" outlineLevel="0" max="4" min="4" style="1" width="26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3"/>
    <col collapsed="false" customWidth="true" hidden="false" outlineLevel="0" max="167" min="8" style="1" width="12"/>
  </cols>
  <sheetData>
    <row r="1" customFormat="false" ht="17.25" hidden="false" customHeight="true" outlineLevel="0" collapsed="false">
      <c r="D1" s="2" t="s">
        <v>54</v>
      </c>
    </row>
    <row r="3" customFormat="false" ht="15" hidden="false" customHeight="true" outlineLevel="0" collapsed="false">
      <c r="D3" s="3" t="s">
        <v>55</v>
      </c>
    </row>
    <row r="5" customFormat="false" ht="15" hidden="false" customHeight="true" outlineLevel="0" collapsed="false">
      <c r="D5" s="13" t="s">
        <v>56</v>
      </c>
    </row>
    <row r="6" customFormat="false" ht="15" hidden="false" customHeight="true" outlineLevel="0" collapsed="false">
      <c r="D6" s="1" t="s">
        <v>57</v>
      </c>
      <c r="E6" s="14" t="n">
        <f aca="false">ConstructionStartDate</f>
        <v>45292</v>
      </c>
    </row>
    <row r="7" customFormat="false" ht="15" hidden="false" customHeight="true" outlineLevel="0" collapsed="false">
      <c r="D7" s="1" t="s">
        <v>58</v>
      </c>
      <c r="E7" s="14" t="n">
        <f aca="false">ConstructionEndDate</f>
        <v>45657</v>
      </c>
    </row>
    <row r="9" customFormat="false" ht="15" hidden="false" customHeight="true" outlineLevel="0" collapsed="false">
      <c r="D9" s="13" t="s">
        <v>59</v>
      </c>
    </row>
    <row r="10" customFormat="false" ht="15" hidden="false" customHeight="true" outlineLevel="0" collapsed="false">
      <c r="D10" s="1" t="s">
        <v>57</v>
      </c>
      <c r="E10" s="14" t="n">
        <f aca="false">OperationsStartDate</f>
        <v>45658</v>
      </c>
    </row>
    <row r="11" customFormat="false" ht="15" hidden="false" customHeight="true" outlineLevel="0" collapsed="false">
      <c r="D11" s="1" t="s">
        <v>58</v>
      </c>
      <c r="E11" s="14" t="n">
        <f aca="false">OperationsEndDate</f>
        <v>56614</v>
      </c>
    </row>
    <row r="13" customFormat="false" ht="15" hidden="false" customHeight="true" outlineLevel="0" collapsed="false">
      <c r="D13" s="3" t="s">
        <v>60</v>
      </c>
      <c r="E13" s="15" t="s">
        <v>61</v>
      </c>
      <c r="F13" s="15" t="s">
        <v>62</v>
      </c>
    </row>
    <row r="14" customFormat="false" ht="15" hidden="false" customHeight="true" outlineLevel="0" collapsed="false">
      <c r="D14" s="16" t="s">
        <v>63</v>
      </c>
      <c r="H14" s="17" t="n">
        <f aca="false">ConstructionStartDate</f>
        <v>45292</v>
      </c>
      <c r="I14" s="18" t="n">
        <f aca="false">H15+1</f>
        <v>45383</v>
      </c>
      <c r="J14" s="18" t="n">
        <f aca="false">I15+1</f>
        <v>45474</v>
      </c>
      <c r="K14" s="18" t="n">
        <f aca="false">J15+1</f>
        <v>45566</v>
      </c>
      <c r="L14" s="18" t="n">
        <f aca="false">K15+1</f>
        <v>45658</v>
      </c>
      <c r="M14" s="18" t="n">
        <f aca="false">L15+1</f>
        <v>45748</v>
      </c>
      <c r="N14" s="18" t="n">
        <f aca="false">M15+1</f>
        <v>45839</v>
      </c>
      <c r="O14" s="18" t="n">
        <f aca="false">N15+1</f>
        <v>45931</v>
      </c>
      <c r="P14" s="18" t="n">
        <f aca="false">O15+1</f>
        <v>46023</v>
      </c>
      <c r="Q14" s="18" t="n">
        <f aca="false">P15+1</f>
        <v>46113</v>
      </c>
      <c r="R14" s="18" t="n">
        <f aca="false">Q15+1</f>
        <v>46204</v>
      </c>
      <c r="S14" s="18" t="n">
        <f aca="false">R15+1</f>
        <v>46296</v>
      </c>
      <c r="T14" s="18" t="n">
        <f aca="false">S15+1</f>
        <v>46388</v>
      </c>
      <c r="U14" s="18" t="n">
        <f aca="false">T15+1</f>
        <v>46478</v>
      </c>
      <c r="V14" s="18" t="n">
        <f aca="false">U15+1</f>
        <v>46569</v>
      </c>
      <c r="W14" s="18" t="n">
        <f aca="false">V15+1</f>
        <v>46661</v>
      </c>
      <c r="X14" s="18" t="n">
        <f aca="false">W15+1</f>
        <v>46753</v>
      </c>
      <c r="Y14" s="18" t="n">
        <f aca="false">X15+1</f>
        <v>46844</v>
      </c>
      <c r="Z14" s="18" t="n">
        <f aca="false">Y15+1</f>
        <v>46935</v>
      </c>
      <c r="AA14" s="18" t="n">
        <f aca="false">Z15+1</f>
        <v>47027</v>
      </c>
      <c r="AB14" s="18" t="n">
        <f aca="false">AA15+1</f>
        <v>47119</v>
      </c>
      <c r="AC14" s="18" t="n">
        <f aca="false">AB15+1</f>
        <v>47209</v>
      </c>
      <c r="AD14" s="18" t="n">
        <f aca="false">AC15+1</f>
        <v>47300</v>
      </c>
      <c r="AE14" s="18" t="n">
        <f aca="false">AD15+1</f>
        <v>47392</v>
      </c>
      <c r="AF14" s="18" t="n">
        <f aca="false">AE15+1</f>
        <v>47484</v>
      </c>
      <c r="AG14" s="18" t="n">
        <f aca="false">AF15+1</f>
        <v>47574</v>
      </c>
      <c r="AH14" s="18" t="n">
        <f aca="false">AG15+1</f>
        <v>47665</v>
      </c>
      <c r="AI14" s="18" t="n">
        <f aca="false">AH15+1</f>
        <v>47757</v>
      </c>
      <c r="AJ14" s="18" t="n">
        <f aca="false">AI15+1</f>
        <v>47849</v>
      </c>
      <c r="AK14" s="18" t="n">
        <f aca="false">AJ15+1</f>
        <v>47939</v>
      </c>
      <c r="AL14" s="18" t="n">
        <f aca="false">AK15+1</f>
        <v>48030</v>
      </c>
      <c r="AM14" s="18" t="n">
        <f aca="false">AL15+1</f>
        <v>48122</v>
      </c>
      <c r="AN14" s="18" t="n">
        <f aca="false">AM15+1</f>
        <v>48214</v>
      </c>
      <c r="AO14" s="18" t="n">
        <f aca="false">AN15+1</f>
        <v>48305</v>
      </c>
      <c r="AP14" s="18" t="n">
        <f aca="false">AO15+1</f>
        <v>48396</v>
      </c>
      <c r="AQ14" s="18" t="n">
        <f aca="false">AP15+1</f>
        <v>48488</v>
      </c>
      <c r="AR14" s="18" t="n">
        <f aca="false">AQ15+1</f>
        <v>48580</v>
      </c>
      <c r="AS14" s="18" t="n">
        <f aca="false">AR15+1</f>
        <v>48670</v>
      </c>
      <c r="AT14" s="18" t="n">
        <f aca="false">AS15+1</f>
        <v>48761</v>
      </c>
      <c r="AU14" s="18" t="n">
        <f aca="false">AT15+1</f>
        <v>48853</v>
      </c>
      <c r="AV14" s="18" t="n">
        <f aca="false">AU15+1</f>
        <v>48945</v>
      </c>
      <c r="AW14" s="18" t="n">
        <f aca="false">AV15+1</f>
        <v>49035</v>
      </c>
      <c r="AX14" s="18" t="n">
        <f aca="false">AW15+1</f>
        <v>49126</v>
      </c>
      <c r="AY14" s="18" t="n">
        <f aca="false">AX15+1</f>
        <v>49218</v>
      </c>
      <c r="AZ14" s="18" t="n">
        <f aca="false">AY15+1</f>
        <v>49310</v>
      </c>
      <c r="BA14" s="18" t="n">
        <f aca="false">AZ15+1</f>
        <v>49400</v>
      </c>
      <c r="BB14" s="18" t="n">
        <f aca="false">BA15+1</f>
        <v>49491</v>
      </c>
      <c r="BC14" s="18" t="n">
        <f aca="false">BB15+1</f>
        <v>49583</v>
      </c>
      <c r="BD14" s="18" t="n">
        <f aca="false">BC15+1</f>
        <v>49675</v>
      </c>
      <c r="BE14" s="18" t="n">
        <f aca="false">BD15+1</f>
        <v>49766</v>
      </c>
      <c r="BF14" s="18" t="n">
        <f aca="false">BE15+1</f>
        <v>49857</v>
      </c>
      <c r="BG14" s="18" t="n">
        <f aca="false">BF15+1</f>
        <v>49949</v>
      </c>
      <c r="BH14" s="18" t="n">
        <f aca="false">BG15+1</f>
        <v>50041</v>
      </c>
      <c r="BI14" s="18" t="n">
        <f aca="false">BH15+1</f>
        <v>50131</v>
      </c>
      <c r="BJ14" s="18" t="n">
        <f aca="false">BI15+1</f>
        <v>50222</v>
      </c>
      <c r="BK14" s="18" t="n">
        <f aca="false">BJ15+1</f>
        <v>50314</v>
      </c>
      <c r="BL14" s="18" t="n">
        <f aca="false">BK15+1</f>
        <v>50406</v>
      </c>
      <c r="BM14" s="18" t="n">
        <f aca="false">BL15+1</f>
        <v>50496</v>
      </c>
      <c r="BN14" s="18" t="n">
        <f aca="false">BM15+1</f>
        <v>50587</v>
      </c>
      <c r="BO14" s="18" t="n">
        <f aca="false">BN15+1</f>
        <v>50679</v>
      </c>
      <c r="BP14" s="18" t="n">
        <f aca="false">BO15+1</f>
        <v>50771</v>
      </c>
      <c r="BQ14" s="18" t="n">
        <f aca="false">BP15+1</f>
        <v>50861</v>
      </c>
      <c r="BR14" s="18" t="n">
        <f aca="false">BQ15+1</f>
        <v>50952</v>
      </c>
      <c r="BS14" s="18" t="n">
        <f aca="false">BR15+1</f>
        <v>51044</v>
      </c>
      <c r="BT14" s="18" t="n">
        <f aca="false">BS15+1</f>
        <v>51136</v>
      </c>
      <c r="BU14" s="18" t="n">
        <f aca="false">BT15+1</f>
        <v>51227</v>
      </c>
      <c r="BV14" s="18" t="n">
        <f aca="false">BU15+1</f>
        <v>51318</v>
      </c>
      <c r="BW14" s="18" t="n">
        <f aca="false">BV15+1</f>
        <v>51410</v>
      </c>
      <c r="BX14" s="18" t="n">
        <f aca="false">BW15+1</f>
        <v>51502</v>
      </c>
      <c r="BY14" s="18" t="n">
        <f aca="false">BX15+1</f>
        <v>51592</v>
      </c>
      <c r="BZ14" s="18" t="n">
        <f aca="false">BY15+1</f>
        <v>51683</v>
      </c>
      <c r="CA14" s="18" t="n">
        <f aca="false">BZ15+1</f>
        <v>51775</v>
      </c>
      <c r="CB14" s="18" t="n">
        <f aca="false">CA15+1</f>
        <v>51867</v>
      </c>
      <c r="CC14" s="18" t="n">
        <f aca="false">CB15+1</f>
        <v>51957</v>
      </c>
      <c r="CD14" s="18" t="n">
        <f aca="false">CC15+1</f>
        <v>52048</v>
      </c>
      <c r="CE14" s="18" t="n">
        <f aca="false">CD15+1</f>
        <v>52140</v>
      </c>
      <c r="CF14" s="18" t="n">
        <f aca="false">CE15+1</f>
        <v>52232</v>
      </c>
      <c r="CG14" s="18" t="n">
        <f aca="false">CF15+1</f>
        <v>52322</v>
      </c>
      <c r="CH14" s="18" t="n">
        <f aca="false">CG15+1</f>
        <v>52413</v>
      </c>
      <c r="CI14" s="18" t="n">
        <f aca="false">CH15+1</f>
        <v>52505</v>
      </c>
      <c r="CJ14" s="18" t="n">
        <f aca="false">CI15+1</f>
        <v>52597</v>
      </c>
      <c r="CK14" s="18" t="n">
        <f aca="false">CJ15+1</f>
        <v>52688</v>
      </c>
      <c r="CL14" s="18" t="n">
        <f aca="false">CK15+1</f>
        <v>52779</v>
      </c>
      <c r="CM14" s="18" t="n">
        <f aca="false">CL15+1</f>
        <v>52871</v>
      </c>
      <c r="CN14" s="18" t="n">
        <f aca="false">CM15+1</f>
        <v>52963</v>
      </c>
      <c r="CO14" s="18" t="n">
        <f aca="false">CN15+1</f>
        <v>53053</v>
      </c>
      <c r="CP14" s="18" t="n">
        <f aca="false">CO15+1</f>
        <v>53144</v>
      </c>
      <c r="CQ14" s="18" t="n">
        <f aca="false">CP15+1</f>
        <v>53236</v>
      </c>
      <c r="CR14" s="18" t="n">
        <f aca="false">CQ15+1</f>
        <v>53328</v>
      </c>
      <c r="CS14" s="18" t="n">
        <f aca="false">CR15+1</f>
        <v>53418</v>
      </c>
      <c r="CT14" s="18" t="n">
        <f aca="false">CS15+1</f>
        <v>53509</v>
      </c>
      <c r="CU14" s="18" t="n">
        <f aca="false">CT15+1</f>
        <v>53601</v>
      </c>
      <c r="CV14" s="18" t="n">
        <f aca="false">CU15+1</f>
        <v>53693</v>
      </c>
      <c r="CW14" s="18" t="n">
        <f aca="false">CV15+1</f>
        <v>53783</v>
      </c>
      <c r="CX14" s="18" t="n">
        <f aca="false">CW15+1</f>
        <v>53874</v>
      </c>
      <c r="CY14" s="18" t="n">
        <f aca="false">CX15+1</f>
        <v>53966</v>
      </c>
      <c r="CZ14" s="18" t="n">
        <f aca="false">CY15+1</f>
        <v>54058</v>
      </c>
      <c r="DA14" s="18" t="n">
        <f aca="false">CZ15+1</f>
        <v>54149</v>
      </c>
      <c r="DB14" s="18" t="n">
        <f aca="false">DA15+1</f>
        <v>54240</v>
      </c>
      <c r="DC14" s="18" t="n">
        <f aca="false">DB15+1</f>
        <v>54332</v>
      </c>
      <c r="DD14" s="18" t="n">
        <f aca="false">DC15+1</f>
        <v>54424</v>
      </c>
      <c r="DE14" s="18" t="n">
        <f aca="false">DD15+1</f>
        <v>54514</v>
      </c>
      <c r="DF14" s="18" t="n">
        <f aca="false">DE15+1</f>
        <v>54605</v>
      </c>
      <c r="DG14" s="18" t="n">
        <f aca="false">DF15+1</f>
        <v>54697</v>
      </c>
      <c r="DH14" s="18" t="n">
        <f aca="false">DG15+1</f>
        <v>54789</v>
      </c>
      <c r="DI14" s="18" t="n">
        <f aca="false">DH15+1</f>
        <v>54879</v>
      </c>
      <c r="DJ14" s="18" t="n">
        <f aca="false">DI15+1</f>
        <v>54970</v>
      </c>
      <c r="DK14" s="18" t="n">
        <f aca="false">DJ15+1</f>
        <v>55062</v>
      </c>
      <c r="DL14" s="18" t="n">
        <f aca="false">DK15+1</f>
        <v>55154</v>
      </c>
      <c r="DM14" s="18" t="n">
        <f aca="false">DL15+1</f>
        <v>55244</v>
      </c>
      <c r="DN14" s="18" t="n">
        <f aca="false">DM15+1</f>
        <v>55335</v>
      </c>
      <c r="DO14" s="18" t="n">
        <f aca="false">DN15+1</f>
        <v>55427</v>
      </c>
      <c r="DP14" s="18" t="n">
        <f aca="false">DO15+1</f>
        <v>55519</v>
      </c>
      <c r="DQ14" s="18" t="n">
        <f aca="false">DP15+1</f>
        <v>55610</v>
      </c>
      <c r="DR14" s="18" t="n">
        <f aca="false">DQ15+1</f>
        <v>55701</v>
      </c>
      <c r="DS14" s="18" t="n">
        <f aca="false">DR15+1</f>
        <v>55793</v>
      </c>
      <c r="DT14" s="18" t="n">
        <f aca="false">DS15+1</f>
        <v>55885</v>
      </c>
      <c r="DU14" s="18" t="n">
        <f aca="false">DT15+1</f>
        <v>55975</v>
      </c>
      <c r="DV14" s="18" t="n">
        <f aca="false">DU15+1</f>
        <v>56066</v>
      </c>
      <c r="DW14" s="18" t="n">
        <f aca="false">DV15+1</f>
        <v>56158</v>
      </c>
      <c r="DX14" s="18" t="n">
        <f aca="false">DW15+1</f>
        <v>56250</v>
      </c>
      <c r="DY14" s="18" t="n">
        <f aca="false">DX15+1</f>
        <v>56340</v>
      </c>
      <c r="DZ14" s="18" t="n">
        <f aca="false">DY15+1</f>
        <v>56431</v>
      </c>
      <c r="EA14" s="18" t="n">
        <f aca="false">DZ15+1</f>
        <v>56523</v>
      </c>
      <c r="EB14" s="18" t="n">
        <f aca="false">EA15+1</f>
        <v>56615</v>
      </c>
      <c r="EC14" s="18" t="n">
        <f aca="false">EB15+1</f>
        <v>56705</v>
      </c>
      <c r="ED14" s="18" t="n">
        <f aca="false">EC15+1</f>
        <v>56796</v>
      </c>
      <c r="EE14" s="18" t="n">
        <f aca="false">ED15+1</f>
        <v>56888</v>
      </c>
      <c r="EF14" s="18" t="n">
        <f aca="false">EE15+1</f>
        <v>56980</v>
      </c>
      <c r="EG14" s="18" t="n">
        <f aca="false">EF15+1</f>
        <v>57071</v>
      </c>
      <c r="EH14" s="18" t="n">
        <f aca="false">EG15+1</f>
        <v>57162</v>
      </c>
      <c r="EI14" s="18" t="n">
        <f aca="false">EH15+1</f>
        <v>57254</v>
      </c>
      <c r="EJ14" s="18" t="n">
        <f aca="false">EI15+1</f>
        <v>57346</v>
      </c>
      <c r="EK14" s="18" t="n">
        <f aca="false">EJ15+1</f>
        <v>57436</v>
      </c>
      <c r="EL14" s="18" t="n">
        <f aca="false">EK15+1</f>
        <v>57527</v>
      </c>
      <c r="EM14" s="18" t="n">
        <f aca="false">EL15+1</f>
        <v>57619</v>
      </c>
      <c r="EN14" s="18" t="n">
        <f aca="false">EM15+1</f>
        <v>57711</v>
      </c>
      <c r="EO14" s="18" t="n">
        <f aca="false">EN15+1</f>
        <v>57801</v>
      </c>
      <c r="EP14" s="18" t="n">
        <f aca="false">EO15+1</f>
        <v>57892</v>
      </c>
      <c r="EQ14" s="18" t="n">
        <f aca="false">EP15+1</f>
        <v>57984</v>
      </c>
      <c r="ER14" s="18" t="n">
        <f aca="false">EQ15+1</f>
        <v>58076</v>
      </c>
      <c r="ES14" s="18" t="n">
        <f aca="false">ER15+1</f>
        <v>58166</v>
      </c>
      <c r="ET14" s="18" t="n">
        <f aca="false">ES15+1</f>
        <v>58257</v>
      </c>
      <c r="EU14" s="18" t="n">
        <f aca="false">ET15+1</f>
        <v>58349</v>
      </c>
      <c r="EV14" s="18" t="n">
        <f aca="false">EU15+1</f>
        <v>58441</v>
      </c>
      <c r="EW14" s="18" t="n">
        <f aca="false">EV15+1</f>
        <v>58532</v>
      </c>
      <c r="EX14" s="18" t="n">
        <f aca="false">EW15+1</f>
        <v>58623</v>
      </c>
      <c r="EY14" s="18" t="n">
        <f aca="false">EX15+1</f>
        <v>58715</v>
      </c>
      <c r="EZ14" s="18" t="n">
        <f aca="false">EY15+1</f>
        <v>58807</v>
      </c>
      <c r="FA14" s="18" t="n">
        <f aca="false">EZ15+1</f>
        <v>58897</v>
      </c>
      <c r="FB14" s="18" t="n">
        <f aca="false">FA15+1</f>
        <v>58988</v>
      </c>
      <c r="FC14" s="18" t="n">
        <f aca="false">FB15+1</f>
        <v>59080</v>
      </c>
      <c r="FD14" s="18" t="n">
        <f aca="false">FC15+1</f>
        <v>59172</v>
      </c>
      <c r="FE14" s="18" t="n">
        <f aca="false">FD15+1</f>
        <v>59262</v>
      </c>
      <c r="FF14" s="18" t="n">
        <f aca="false">FE15+1</f>
        <v>59353</v>
      </c>
      <c r="FG14" s="18" t="n">
        <f aca="false">FF15+1</f>
        <v>59445</v>
      </c>
      <c r="FH14" s="18" t="n">
        <f aca="false">FG15+1</f>
        <v>59537</v>
      </c>
      <c r="FI14" s="18" t="n">
        <f aca="false">FH15+1</f>
        <v>59627</v>
      </c>
      <c r="FJ14" s="18" t="n">
        <f aca="false">FI15+1</f>
        <v>59718</v>
      </c>
      <c r="FK14" s="18" t="n">
        <f aca="false">FJ15+1</f>
        <v>59810</v>
      </c>
    </row>
    <row r="15" customFormat="false" ht="15" hidden="false" customHeight="true" outlineLevel="0" collapsed="false">
      <c r="D15" s="16" t="s">
        <v>64</v>
      </c>
      <c r="H15" s="18" t="n">
        <f aca="false">EOMONTH(H14,PeriodLengthMonths-1)</f>
        <v>45382</v>
      </c>
      <c r="I15" s="18" t="n">
        <f aca="false">EOMONTH(I14,PeriodLengthMonths-1)</f>
        <v>45473</v>
      </c>
      <c r="J15" s="18" t="n">
        <f aca="false">EOMONTH(J14,PeriodLengthMonths-1)</f>
        <v>45565</v>
      </c>
      <c r="K15" s="18" t="n">
        <f aca="false">EOMONTH(K14,PeriodLengthMonths-1)</f>
        <v>45657</v>
      </c>
      <c r="L15" s="18" t="n">
        <f aca="false">EOMONTH(L14,PeriodLengthMonths-1)</f>
        <v>45747</v>
      </c>
      <c r="M15" s="18" t="n">
        <f aca="false">EOMONTH(M14,PeriodLengthMonths-1)</f>
        <v>45838</v>
      </c>
      <c r="N15" s="18" t="n">
        <f aca="false">EOMONTH(N14,PeriodLengthMonths-1)</f>
        <v>45930</v>
      </c>
      <c r="O15" s="18" t="n">
        <f aca="false">EOMONTH(O14,PeriodLengthMonths-1)</f>
        <v>46022</v>
      </c>
      <c r="P15" s="18" t="n">
        <f aca="false">EOMONTH(P14,PeriodLengthMonths-1)</f>
        <v>46112</v>
      </c>
      <c r="Q15" s="18" t="n">
        <f aca="false">EOMONTH(Q14,PeriodLengthMonths-1)</f>
        <v>46203</v>
      </c>
      <c r="R15" s="18" t="n">
        <f aca="false">EOMONTH(R14,PeriodLengthMonths-1)</f>
        <v>46295</v>
      </c>
      <c r="S15" s="18" t="n">
        <f aca="false">EOMONTH(S14,PeriodLengthMonths-1)</f>
        <v>46387</v>
      </c>
      <c r="T15" s="18" t="n">
        <f aca="false">EOMONTH(T14,PeriodLengthMonths-1)</f>
        <v>46477</v>
      </c>
      <c r="U15" s="18" t="n">
        <f aca="false">EOMONTH(U14,PeriodLengthMonths-1)</f>
        <v>46568</v>
      </c>
      <c r="V15" s="18" t="n">
        <f aca="false">EOMONTH(V14,PeriodLengthMonths-1)</f>
        <v>46660</v>
      </c>
      <c r="W15" s="18" t="n">
        <f aca="false">EOMONTH(W14,PeriodLengthMonths-1)</f>
        <v>46752</v>
      </c>
      <c r="X15" s="18" t="n">
        <f aca="false">EOMONTH(X14,PeriodLengthMonths-1)</f>
        <v>46843</v>
      </c>
      <c r="Y15" s="18" t="n">
        <f aca="false">EOMONTH(Y14,PeriodLengthMonths-1)</f>
        <v>46934</v>
      </c>
      <c r="Z15" s="18" t="n">
        <f aca="false">EOMONTH(Z14,PeriodLengthMonths-1)</f>
        <v>47026</v>
      </c>
      <c r="AA15" s="18" t="n">
        <f aca="false">EOMONTH(AA14,PeriodLengthMonths-1)</f>
        <v>47118</v>
      </c>
      <c r="AB15" s="18" t="n">
        <f aca="false">EOMONTH(AB14,PeriodLengthMonths-1)</f>
        <v>47208</v>
      </c>
      <c r="AC15" s="18" t="n">
        <f aca="false">EOMONTH(AC14,PeriodLengthMonths-1)</f>
        <v>47299</v>
      </c>
      <c r="AD15" s="18" t="n">
        <f aca="false">EOMONTH(AD14,PeriodLengthMonths-1)</f>
        <v>47391</v>
      </c>
      <c r="AE15" s="18" t="n">
        <f aca="false">EOMONTH(AE14,PeriodLengthMonths-1)</f>
        <v>47483</v>
      </c>
      <c r="AF15" s="18" t="n">
        <f aca="false">EOMONTH(AF14,PeriodLengthMonths-1)</f>
        <v>47573</v>
      </c>
      <c r="AG15" s="18" t="n">
        <f aca="false">EOMONTH(AG14,PeriodLengthMonths-1)</f>
        <v>47664</v>
      </c>
      <c r="AH15" s="18" t="n">
        <f aca="false">EOMONTH(AH14,PeriodLengthMonths-1)</f>
        <v>47756</v>
      </c>
      <c r="AI15" s="18" t="n">
        <f aca="false">EOMONTH(AI14,PeriodLengthMonths-1)</f>
        <v>47848</v>
      </c>
      <c r="AJ15" s="18" t="n">
        <f aca="false">EOMONTH(AJ14,PeriodLengthMonths-1)</f>
        <v>47938</v>
      </c>
      <c r="AK15" s="18" t="n">
        <f aca="false">EOMONTH(AK14,PeriodLengthMonths-1)</f>
        <v>48029</v>
      </c>
      <c r="AL15" s="18" t="n">
        <f aca="false">EOMONTH(AL14,PeriodLengthMonths-1)</f>
        <v>48121</v>
      </c>
      <c r="AM15" s="18" t="n">
        <f aca="false">EOMONTH(AM14,PeriodLengthMonths-1)</f>
        <v>48213</v>
      </c>
      <c r="AN15" s="18" t="n">
        <f aca="false">EOMONTH(AN14,PeriodLengthMonths-1)</f>
        <v>48304</v>
      </c>
      <c r="AO15" s="18" t="n">
        <f aca="false">EOMONTH(AO14,PeriodLengthMonths-1)</f>
        <v>48395</v>
      </c>
      <c r="AP15" s="18" t="n">
        <f aca="false">EOMONTH(AP14,PeriodLengthMonths-1)</f>
        <v>48487</v>
      </c>
      <c r="AQ15" s="18" t="n">
        <f aca="false">EOMONTH(AQ14,PeriodLengthMonths-1)</f>
        <v>48579</v>
      </c>
      <c r="AR15" s="18" t="n">
        <f aca="false">EOMONTH(AR14,PeriodLengthMonths-1)</f>
        <v>48669</v>
      </c>
      <c r="AS15" s="18" t="n">
        <f aca="false">EOMONTH(AS14,PeriodLengthMonths-1)</f>
        <v>48760</v>
      </c>
      <c r="AT15" s="18" t="n">
        <f aca="false">EOMONTH(AT14,PeriodLengthMonths-1)</f>
        <v>48852</v>
      </c>
      <c r="AU15" s="18" t="n">
        <f aca="false">EOMONTH(AU14,PeriodLengthMonths-1)</f>
        <v>48944</v>
      </c>
      <c r="AV15" s="18" t="n">
        <f aca="false">EOMONTH(AV14,PeriodLengthMonths-1)</f>
        <v>49034</v>
      </c>
      <c r="AW15" s="18" t="n">
        <f aca="false">EOMONTH(AW14,PeriodLengthMonths-1)</f>
        <v>49125</v>
      </c>
      <c r="AX15" s="18" t="n">
        <f aca="false">EOMONTH(AX14,PeriodLengthMonths-1)</f>
        <v>49217</v>
      </c>
      <c r="AY15" s="18" t="n">
        <f aca="false">EOMONTH(AY14,PeriodLengthMonths-1)</f>
        <v>49309</v>
      </c>
      <c r="AZ15" s="18" t="n">
        <f aca="false">EOMONTH(AZ14,PeriodLengthMonths-1)</f>
        <v>49399</v>
      </c>
      <c r="BA15" s="18" t="n">
        <f aca="false">EOMONTH(BA14,PeriodLengthMonths-1)</f>
        <v>49490</v>
      </c>
      <c r="BB15" s="18" t="n">
        <f aca="false">EOMONTH(BB14,PeriodLengthMonths-1)</f>
        <v>49582</v>
      </c>
      <c r="BC15" s="18" t="n">
        <f aca="false">EOMONTH(BC14,PeriodLengthMonths-1)</f>
        <v>49674</v>
      </c>
      <c r="BD15" s="18" t="n">
        <f aca="false">EOMONTH(BD14,PeriodLengthMonths-1)</f>
        <v>49765</v>
      </c>
      <c r="BE15" s="18" t="n">
        <f aca="false">EOMONTH(BE14,PeriodLengthMonths-1)</f>
        <v>49856</v>
      </c>
      <c r="BF15" s="18" t="n">
        <f aca="false">EOMONTH(BF14,PeriodLengthMonths-1)</f>
        <v>49948</v>
      </c>
      <c r="BG15" s="18" t="n">
        <f aca="false">EOMONTH(BG14,PeriodLengthMonths-1)</f>
        <v>50040</v>
      </c>
      <c r="BH15" s="18" t="n">
        <f aca="false">EOMONTH(BH14,PeriodLengthMonths-1)</f>
        <v>50130</v>
      </c>
      <c r="BI15" s="18" t="n">
        <f aca="false">EOMONTH(BI14,PeriodLengthMonths-1)</f>
        <v>50221</v>
      </c>
      <c r="BJ15" s="18" t="n">
        <f aca="false">EOMONTH(BJ14,PeriodLengthMonths-1)</f>
        <v>50313</v>
      </c>
      <c r="BK15" s="18" t="n">
        <f aca="false">EOMONTH(BK14,PeriodLengthMonths-1)</f>
        <v>50405</v>
      </c>
      <c r="BL15" s="18" t="n">
        <f aca="false">EOMONTH(BL14,PeriodLengthMonths-1)</f>
        <v>50495</v>
      </c>
      <c r="BM15" s="18" t="n">
        <f aca="false">EOMONTH(BM14,PeriodLengthMonths-1)</f>
        <v>50586</v>
      </c>
      <c r="BN15" s="18" t="n">
        <f aca="false">EOMONTH(BN14,PeriodLengthMonths-1)</f>
        <v>50678</v>
      </c>
      <c r="BO15" s="18" t="n">
        <f aca="false">EOMONTH(BO14,PeriodLengthMonths-1)</f>
        <v>50770</v>
      </c>
      <c r="BP15" s="18" t="n">
        <f aca="false">EOMONTH(BP14,PeriodLengthMonths-1)</f>
        <v>50860</v>
      </c>
      <c r="BQ15" s="18" t="n">
        <f aca="false">EOMONTH(BQ14,PeriodLengthMonths-1)</f>
        <v>50951</v>
      </c>
      <c r="BR15" s="18" t="n">
        <f aca="false">EOMONTH(BR14,PeriodLengthMonths-1)</f>
        <v>51043</v>
      </c>
      <c r="BS15" s="18" t="n">
        <f aca="false">EOMONTH(BS14,PeriodLengthMonths-1)</f>
        <v>51135</v>
      </c>
      <c r="BT15" s="18" t="n">
        <f aca="false">EOMONTH(BT14,PeriodLengthMonths-1)</f>
        <v>51226</v>
      </c>
      <c r="BU15" s="18" t="n">
        <f aca="false">EOMONTH(BU14,PeriodLengthMonths-1)</f>
        <v>51317</v>
      </c>
      <c r="BV15" s="18" t="n">
        <f aca="false">EOMONTH(BV14,PeriodLengthMonths-1)</f>
        <v>51409</v>
      </c>
      <c r="BW15" s="18" t="n">
        <f aca="false">EOMONTH(BW14,PeriodLengthMonths-1)</f>
        <v>51501</v>
      </c>
      <c r="BX15" s="18" t="n">
        <f aca="false">EOMONTH(BX14,PeriodLengthMonths-1)</f>
        <v>51591</v>
      </c>
      <c r="BY15" s="18" t="n">
        <f aca="false">EOMONTH(BY14,PeriodLengthMonths-1)</f>
        <v>51682</v>
      </c>
      <c r="BZ15" s="18" t="n">
        <f aca="false">EOMONTH(BZ14,PeriodLengthMonths-1)</f>
        <v>51774</v>
      </c>
      <c r="CA15" s="18" t="n">
        <f aca="false">EOMONTH(CA14,PeriodLengthMonths-1)</f>
        <v>51866</v>
      </c>
      <c r="CB15" s="18" t="n">
        <f aca="false">EOMONTH(CB14,PeriodLengthMonths-1)</f>
        <v>51956</v>
      </c>
      <c r="CC15" s="18" t="n">
        <f aca="false">EOMONTH(CC14,PeriodLengthMonths-1)</f>
        <v>52047</v>
      </c>
      <c r="CD15" s="18" t="n">
        <f aca="false">EOMONTH(CD14,PeriodLengthMonths-1)</f>
        <v>52139</v>
      </c>
      <c r="CE15" s="18" t="n">
        <f aca="false">EOMONTH(CE14,PeriodLengthMonths-1)</f>
        <v>52231</v>
      </c>
      <c r="CF15" s="18" t="n">
        <f aca="false">EOMONTH(CF14,PeriodLengthMonths-1)</f>
        <v>52321</v>
      </c>
      <c r="CG15" s="18" t="n">
        <f aca="false">EOMONTH(CG14,PeriodLengthMonths-1)</f>
        <v>52412</v>
      </c>
      <c r="CH15" s="18" t="n">
        <f aca="false">EOMONTH(CH14,PeriodLengthMonths-1)</f>
        <v>52504</v>
      </c>
      <c r="CI15" s="18" t="n">
        <f aca="false">EOMONTH(CI14,PeriodLengthMonths-1)</f>
        <v>52596</v>
      </c>
      <c r="CJ15" s="18" t="n">
        <f aca="false">EOMONTH(CJ14,PeriodLengthMonths-1)</f>
        <v>52687</v>
      </c>
      <c r="CK15" s="18" t="n">
        <f aca="false">EOMONTH(CK14,PeriodLengthMonths-1)</f>
        <v>52778</v>
      </c>
      <c r="CL15" s="18" t="n">
        <f aca="false">EOMONTH(CL14,PeriodLengthMonths-1)</f>
        <v>52870</v>
      </c>
      <c r="CM15" s="18" t="n">
        <f aca="false">EOMONTH(CM14,PeriodLengthMonths-1)</f>
        <v>52962</v>
      </c>
      <c r="CN15" s="18" t="n">
        <f aca="false">EOMONTH(CN14,PeriodLengthMonths-1)</f>
        <v>53052</v>
      </c>
      <c r="CO15" s="18" t="n">
        <f aca="false">EOMONTH(CO14,PeriodLengthMonths-1)</f>
        <v>53143</v>
      </c>
      <c r="CP15" s="18" t="n">
        <f aca="false">EOMONTH(CP14,PeriodLengthMonths-1)</f>
        <v>53235</v>
      </c>
      <c r="CQ15" s="18" t="n">
        <f aca="false">EOMONTH(CQ14,PeriodLengthMonths-1)</f>
        <v>53327</v>
      </c>
      <c r="CR15" s="18" t="n">
        <f aca="false">EOMONTH(CR14,PeriodLengthMonths-1)</f>
        <v>53417</v>
      </c>
      <c r="CS15" s="18" t="n">
        <f aca="false">EOMONTH(CS14,PeriodLengthMonths-1)</f>
        <v>53508</v>
      </c>
      <c r="CT15" s="18" t="n">
        <f aca="false">EOMONTH(CT14,PeriodLengthMonths-1)</f>
        <v>53600</v>
      </c>
      <c r="CU15" s="18" t="n">
        <f aca="false">EOMONTH(CU14,PeriodLengthMonths-1)</f>
        <v>53692</v>
      </c>
      <c r="CV15" s="18" t="n">
        <f aca="false">EOMONTH(CV14,PeriodLengthMonths-1)</f>
        <v>53782</v>
      </c>
      <c r="CW15" s="18" t="n">
        <f aca="false">EOMONTH(CW14,PeriodLengthMonths-1)</f>
        <v>53873</v>
      </c>
      <c r="CX15" s="18" t="n">
        <f aca="false">EOMONTH(CX14,PeriodLengthMonths-1)</f>
        <v>53965</v>
      </c>
      <c r="CY15" s="18" t="n">
        <f aca="false">EOMONTH(CY14,PeriodLengthMonths-1)</f>
        <v>54057</v>
      </c>
      <c r="CZ15" s="18" t="n">
        <f aca="false">EOMONTH(CZ14,PeriodLengthMonths-1)</f>
        <v>54148</v>
      </c>
      <c r="DA15" s="18" t="n">
        <f aca="false">EOMONTH(DA14,PeriodLengthMonths-1)</f>
        <v>54239</v>
      </c>
      <c r="DB15" s="18" t="n">
        <f aca="false">EOMONTH(DB14,PeriodLengthMonths-1)</f>
        <v>54331</v>
      </c>
      <c r="DC15" s="18" t="n">
        <f aca="false">EOMONTH(DC14,PeriodLengthMonths-1)</f>
        <v>54423</v>
      </c>
      <c r="DD15" s="18" t="n">
        <f aca="false">EOMONTH(DD14,PeriodLengthMonths-1)</f>
        <v>54513</v>
      </c>
      <c r="DE15" s="18" t="n">
        <f aca="false">EOMONTH(DE14,PeriodLengthMonths-1)</f>
        <v>54604</v>
      </c>
      <c r="DF15" s="18" t="n">
        <f aca="false">EOMONTH(DF14,PeriodLengthMonths-1)</f>
        <v>54696</v>
      </c>
      <c r="DG15" s="18" t="n">
        <f aca="false">EOMONTH(DG14,PeriodLengthMonths-1)</f>
        <v>54788</v>
      </c>
      <c r="DH15" s="18" t="n">
        <f aca="false">EOMONTH(DH14,PeriodLengthMonths-1)</f>
        <v>54878</v>
      </c>
      <c r="DI15" s="18" t="n">
        <f aca="false">EOMONTH(DI14,PeriodLengthMonths-1)</f>
        <v>54969</v>
      </c>
      <c r="DJ15" s="18" t="n">
        <f aca="false">EOMONTH(DJ14,PeriodLengthMonths-1)</f>
        <v>55061</v>
      </c>
      <c r="DK15" s="18" t="n">
        <f aca="false">EOMONTH(DK14,PeriodLengthMonths-1)</f>
        <v>55153</v>
      </c>
      <c r="DL15" s="18" t="n">
        <f aca="false">EOMONTH(DL14,PeriodLengthMonths-1)</f>
        <v>55243</v>
      </c>
      <c r="DM15" s="18" t="n">
        <f aca="false">EOMONTH(DM14,PeriodLengthMonths-1)</f>
        <v>55334</v>
      </c>
      <c r="DN15" s="18" t="n">
        <f aca="false">EOMONTH(DN14,PeriodLengthMonths-1)</f>
        <v>55426</v>
      </c>
      <c r="DO15" s="18" t="n">
        <f aca="false">EOMONTH(DO14,PeriodLengthMonths-1)</f>
        <v>55518</v>
      </c>
      <c r="DP15" s="18" t="n">
        <f aca="false">EOMONTH(DP14,PeriodLengthMonths-1)</f>
        <v>55609</v>
      </c>
      <c r="DQ15" s="18" t="n">
        <f aca="false">EOMONTH(DQ14,PeriodLengthMonths-1)</f>
        <v>55700</v>
      </c>
      <c r="DR15" s="18" t="n">
        <f aca="false">EOMONTH(DR14,PeriodLengthMonths-1)</f>
        <v>55792</v>
      </c>
      <c r="DS15" s="18" t="n">
        <f aca="false">EOMONTH(DS14,PeriodLengthMonths-1)</f>
        <v>55884</v>
      </c>
      <c r="DT15" s="18" t="n">
        <f aca="false">EOMONTH(DT14,PeriodLengthMonths-1)</f>
        <v>55974</v>
      </c>
      <c r="DU15" s="18" t="n">
        <f aca="false">EOMONTH(DU14,PeriodLengthMonths-1)</f>
        <v>56065</v>
      </c>
      <c r="DV15" s="18" t="n">
        <f aca="false">EOMONTH(DV14,PeriodLengthMonths-1)</f>
        <v>56157</v>
      </c>
      <c r="DW15" s="18" t="n">
        <f aca="false">EOMONTH(DW14,PeriodLengthMonths-1)</f>
        <v>56249</v>
      </c>
      <c r="DX15" s="18" t="n">
        <f aca="false">EOMONTH(DX14,PeriodLengthMonths-1)</f>
        <v>56339</v>
      </c>
      <c r="DY15" s="18" t="n">
        <f aca="false">EOMONTH(DY14,PeriodLengthMonths-1)</f>
        <v>56430</v>
      </c>
      <c r="DZ15" s="18" t="n">
        <f aca="false">EOMONTH(DZ14,PeriodLengthMonths-1)</f>
        <v>56522</v>
      </c>
      <c r="EA15" s="18" t="n">
        <f aca="false">EOMONTH(EA14,PeriodLengthMonths-1)</f>
        <v>56614</v>
      </c>
      <c r="EB15" s="18" t="n">
        <f aca="false">EOMONTH(EB14,PeriodLengthMonths-1)</f>
        <v>56704</v>
      </c>
      <c r="EC15" s="18" t="n">
        <f aca="false">EOMONTH(EC14,PeriodLengthMonths-1)</f>
        <v>56795</v>
      </c>
      <c r="ED15" s="18" t="n">
        <f aca="false">EOMONTH(ED14,PeriodLengthMonths-1)</f>
        <v>56887</v>
      </c>
      <c r="EE15" s="18" t="n">
        <f aca="false">EOMONTH(EE14,PeriodLengthMonths-1)</f>
        <v>56979</v>
      </c>
      <c r="EF15" s="18" t="n">
        <f aca="false">EOMONTH(EF14,PeriodLengthMonths-1)</f>
        <v>57070</v>
      </c>
      <c r="EG15" s="18" t="n">
        <f aca="false">EOMONTH(EG14,PeriodLengthMonths-1)</f>
        <v>57161</v>
      </c>
      <c r="EH15" s="18" t="n">
        <f aca="false">EOMONTH(EH14,PeriodLengthMonths-1)</f>
        <v>57253</v>
      </c>
      <c r="EI15" s="18" t="n">
        <f aca="false">EOMONTH(EI14,PeriodLengthMonths-1)</f>
        <v>57345</v>
      </c>
      <c r="EJ15" s="18" t="n">
        <f aca="false">EOMONTH(EJ14,PeriodLengthMonths-1)</f>
        <v>57435</v>
      </c>
      <c r="EK15" s="18" t="n">
        <f aca="false">EOMONTH(EK14,PeriodLengthMonths-1)</f>
        <v>57526</v>
      </c>
      <c r="EL15" s="18" t="n">
        <f aca="false">EOMONTH(EL14,PeriodLengthMonths-1)</f>
        <v>57618</v>
      </c>
      <c r="EM15" s="18" t="n">
        <f aca="false">EOMONTH(EM14,PeriodLengthMonths-1)</f>
        <v>57710</v>
      </c>
      <c r="EN15" s="18" t="n">
        <f aca="false">EOMONTH(EN14,PeriodLengthMonths-1)</f>
        <v>57800</v>
      </c>
      <c r="EO15" s="18" t="n">
        <f aca="false">EOMONTH(EO14,PeriodLengthMonths-1)</f>
        <v>57891</v>
      </c>
      <c r="EP15" s="18" t="n">
        <f aca="false">EOMONTH(EP14,PeriodLengthMonths-1)</f>
        <v>57983</v>
      </c>
      <c r="EQ15" s="18" t="n">
        <f aca="false">EOMONTH(EQ14,PeriodLengthMonths-1)</f>
        <v>58075</v>
      </c>
      <c r="ER15" s="18" t="n">
        <f aca="false">EOMONTH(ER14,PeriodLengthMonths-1)</f>
        <v>58165</v>
      </c>
      <c r="ES15" s="18" t="n">
        <f aca="false">EOMONTH(ES14,PeriodLengthMonths-1)</f>
        <v>58256</v>
      </c>
      <c r="ET15" s="18" t="n">
        <f aca="false">EOMONTH(ET14,PeriodLengthMonths-1)</f>
        <v>58348</v>
      </c>
      <c r="EU15" s="18" t="n">
        <f aca="false">EOMONTH(EU14,PeriodLengthMonths-1)</f>
        <v>58440</v>
      </c>
      <c r="EV15" s="18" t="n">
        <f aca="false">EOMONTH(EV14,PeriodLengthMonths-1)</f>
        <v>58531</v>
      </c>
      <c r="EW15" s="18" t="n">
        <f aca="false">EOMONTH(EW14,PeriodLengthMonths-1)</f>
        <v>58622</v>
      </c>
      <c r="EX15" s="18" t="n">
        <f aca="false">EOMONTH(EX14,PeriodLengthMonths-1)</f>
        <v>58714</v>
      </c>
      <c r="EY15" s="18" t="n">
        <f aca="false">EOMONTH(EY14,PeriodLengthMonths-1)</f>
        <v>58806</v>
      </c>
      <c r="EZ15" s="18" t="n">
        <f aca="false">EOMONTH(EZ14,PeriodLengthMonths-1)</f>
        <v>58896</v>
      </c>
      <c r="FA15" s="18" t="n">
        <f aca="false">EOMONTH(FA14,PeriodLengthMonths-1)</f>
        <v>58987</v>
      </c>
      <c r="FB15" s="18" t="n">
        <f aca="false">EOMONTH(FB14,PeriodLengthMonths-1)</f>
        <v>59079</v>
      </c>
      <c r="FC15" s="18" t="n">
        <f aca="false">EOMONTH(FC14,PeriodLengthMonths-1)</f>
        <v>59171</v>
      </c>
      <c r="FD15" s="18" t="n">
        <f aca="false">EOMONTH(FD14,PeriodLengthMonths-1)</f>
        <v>59261</v>
      </c>
      <c r="FE15" s="18" t="n">
        <f aca="false">EOMONTH(FE14,PeriodLengthMonths-1)</f>
        <v>59352</v>
      </c>
      <c r="FF15" s="18" t="n">
        <f aca="false">EOMONTH(FF14,PeriodLengthMonths-1)</f>
        <v>59444</v>
      </c>
      <c r="FG15" s="18" t="n">
        <f aca="false">EOMONTH(FG14,PeriodLengthMonths-1)</f>
        <v>59536</v>
      </c>
      <c r="FH15" s="18" t="n">
        <f aca="false">EOMONTH(FH14,PeriodLengthMonths-1)</f>
        <v>59626</v>
      </c>
      <c r="FI15" s="18" t="n">
        <f aca="false">EOMONTH(FI14,PeriodLengthMonths-1)</f>
        <v>59717</v>
      </c>
      <c r="FJ15" s="18" t="n">
        <f aca="false">EOMONTH(FJ14,PeriodLengthMonths-1)</f>
        <v>59809</v>
      </c>
      <c r="FK15" s="18" t="n">
        <f aca="false">EOMONTH(FK14,PeriodLengthMonths-1)</f>
        <v>59901</v>
      </c>
    </row>
    <row r="16" customFormat="false" ht="15" hidden="false" customHeight="true" outlineLevel="0" collapsed="false">
      <c r="D16" s="16" t="s">
        <v>65</v>
      </c>
      <c r="H16" s="19" t="b">
        <f aca="false">IF(AND(H14&gt;=ConstructionStartDate,H14&lt;=ConstructionEndDate),TRUE(),FALSE())</f>
        <v>1</v>
      </c>
      <c r="I16" s="19" t="b">
        <f aca="false">IF(AND(I14&gt;=ConstructionStartDate,I14&lt;=ConstructionEndDate),TRUE(),FALSE())</f>
        <v>1</v>
      </c>
      <c r="J16" s="19" t="b">
        <f aca="false">IF(AND(J14&gt;=ConstructionStartDate,J14&lt;=ConstructionEndDate),TRUE(),FALSE())</f>
        <v>1</v>
      </c>
      <c r="K16" s="19" t="b">
        <f aca="false">IF(AND(K14&gt;=ConstructionStartDate,K14&lt;=ConstructionEndDate),TRUE(),FALSE())</f>
        <v>1</v>
      </c>
      <c r="L16" s="19" t="b">
        <f aca="false">IF(AND(L14&gt;=ConstructionStartDate,L14&lt;=ConstructionEndDate),TRUE(),FALSE())</f>
        <v>0</v>
      </c>
      <c r="M16" s="19" t="b">
        <f aca="false">IF(AND(M14&gt;=ConstructionStartDate,M14&lt;=ConstructionEndDate),TRUE(),FALSE())</f>
        <v>0</v>
      </c>
      <c r="N16" s="19" t="b">
        <f aca="false">IF(AND(N14&gt;=ConstructionStartDate,N14&lt;=ConstructionEndDate),TRUE(),FALSE())</f>
        <v>0</v>
      </c>
      <c r="O16" s="19" t="b">
        <f aca="false">IF(AND(O14&gt;=ConstructionStartDate,O14&lt;=ConstructionEndDate),TRUE(),FALSE())</f>
        <v>0</v>
      </c>
      <c r="P16" s="19" t="b">
        <f aca="false">IF(AND(P14&gt;=ConstructionStartDate,P14&lt;=ConstructionEndDate),TRUE(),FALSE())</f>
        <v>0</v>
      </c>
      <c r="Q16" s="19" t="b">
        <f aca="false">IF(AND(Q14&gt;=ConstructionStartDate,Q14&lt;=ConstructionEndDate),TRUE(),FALSE())</f>
        <v>0</v>
      </c>
      <c r="R16" s="19" t="b">
        <f aca="false">IF(AND(R14&gt;=ConstructionStartDate,R14&lt;=ConstructionEndDate),TRUE(),FALSE())</f>
        <v>0</v>
      </c>
      <c r="S16" s="19" t="b">
        <f aca="false">IF(AND(S14&gt;=ConstructionStartDate,S14&lt;=ConstructionEndDate),TRUE(),FALSE())</f>
        <v>0</v>
      </c>
      <c r="T16" s="19" t="b">
        <f aca="false">IF(AND(T14&gt;=ConstructionStartDate,T14&lt;=ConstructionEndDate),TRUE(),FALSE())</f>
        <v>0</v>
      </c>
      <c r="U16" s="19" t="b">
        <f aca="false">IF(AND(U14&gt;=ConstructionStartDate,U14&lt;=ConstructionEndDate),TRUE(),FALSE())</f>
        <v>0</v>
      </c>
      <c r="V16" s="19" t="b">
        <f aca="false">IF(AND(V14&gt;=ConstructionStartDate,V14&lt;=ConstructionEndDate),TRUE(),FALSE())</f>
        <v>0</v>
      </c>
      <c r="W16" s="19" t="b">
        <f aca="false">IF(AND(W14&gt;=ConstructionStartDate,W14&lt;=ConstructionEndDate),TRUE(),FALSE())</f>
        <v>0</v>
      </c>
      <c r="X16" s="19" t="b">
        <f aca="false">IF(AND(X14&gt;=ConstructionStartDate,X14&lt;=ConstructionEndDate),TRUE(),FALSE())</f>
        <v>0</v>
      </c>
      <c r="Y16" s="19" t="b">
        <f aca="false">IF(AND(Y14&gt;=ConstructionStartDate,Y14&lt;=ConstructionEndDate),TRUE(),FALSE())</f>
        <v>0</v>
      </c>
      <c r="Z16" s="19" t="b">
        <f aca="false">IF(AND(Z14&gt;=ConstructionStartDate,Z14&lt;=ConstructionEndDate),TRUE(),FALSE())</f>
        <v>0</v>
      </c>
      <c r="AA16" s="19" t="b">
        <f aca="false">IF(AND(AA14&gt;=ConstructionStartDate,AA14&lt;=ConstructionEndDate),TRUE(),FALSE())</f>
        <v>0</v>
      </c>
      <c r="AB16" s="19" t="b">
        <f aca="false">IF(AND(AB14&gt;=ConstructionStartDate,AB14&lt;=ConstructionEndDate),TRUE(),FALSE())</f>
        <v>0</v>
      </c>
      <c r="AC16" s="19" t="b">
        <f aca="false">IF(AND(AC14&gt;=ConstructionStartDate,AC14&lt;=ConstructionEndDate),TRUE(),FALSE())</f>
        <v>0</v>
      </c>
      <c r="AD16" s="19" t="b">
        <f aca="false">IF(AND(AD14&gt;=ConstructionStartDate,AD14&lt;=ConstructionEndDate),TRUE(),FALSE())</f>
        <v>0</v>
      </c>
      <c r="AE16" s="19" t="b">
        <f aca="false">IF(AND(AE14&gt;=ConstructionStartDate,AE14&lt;=ConstructionEndDate),TRUE(),FALSE())</f>
        <v>0</v>
      </c>
      <c r="AF16" s="19" t="b">
        <f aca="false">IF(AND(AF14&gt;=ConstructionStartDate,AF14&lt;=ConstructionEndDate),TRUE(),FALSE())</f>
        <v>0</v>
      </c>
      <c r="AG16" s="19" t="b">
        <f aca="false">IF(AND(AG14&gt;=ConstructionStartDate,AG14&lt;=ConstructionEndDate),TRUE(),FALSE())</f>
        <v>0</v>
      </c>
      <c r="AH16" s="19" t="b">
        <f aca="false">IF(AND(AH14&gt;=ConstructionStartDate,AH14&lt;=ConstructionEndDate),TRUE(),FALSE())</f>
        <v>0</v>
      </c>
      <c r="AI16" s="19" t="b">
        <f aca="false">IF(AND(AI14&gt;=ConstructionStartDate,AI14&lt;=ConstructionEndDate),TRUE(),FALSE())</f>
        <v>0</v>
      </c>
      <c r="AJ16" s="19" t="b">
        <f aca="false">IF(AND(AJ14&gt;=ConstructionStartDate,AJ14&lt;=ConstructionEndDate),TRUE(),FALSE())</f>
        <v>0</v>
      </c>
      <c r="AK16" s="19" t="b">
        <f aca="false">IF(AND(AK14&gt;=ConstructionStartDate,AK14&lt;=ConstructionEndDate),TRUE(),FALSE())</f>
        <v>0</v>
      </c>
      <c r="AL16" s="19" t="b">
        <f aca="false">IF(AND(AL14&gt;=ConstructionStartDate,AL14&lt;=ConstructionEndDate),TRUE(),FALSE())</f>
        <v>0</v>
      </c>
      <c r="AM16" s="19" t="b">
        <f aca="false">IF(AND(AM14&gt;=ConstructionStartDate,AM14&lt;=ConstructionEndDate),TRUE(),FALSE())</f>
        <v>0</v>
      </c>
      <c r="AN16" s="19" t="b">
        <f aca="false">IF(AND(AN14&gt;=ConstructionStartDate,AN14&lt;=ConstructionEndDate),TRUE(),FALSE())</f>
        <v>0</v>
      </c>
      <c r="AO16" s="19" t="b">
        <f aca="false">IF(AND(AO14&gt;=ConstructionStartDate,AO14&lt;=ConstructionEndDate),TRUE(),FALSE())</f>
        <v>0</v>
      </c>
      <c r="AP16" s="19" t="b">
        <f aca="false">IF(AND(AP14&gt;=ConstructionStartDate,AP14&lt;=ConstructionEndDate),TRUE(),FALSE())</f>
        <v>0</v>
      </c>
      <c r="AQ16" s="19" t="b">
        <f aca="false">IF(AND(AQ14&gt;=ConstructionStartDate,AQ14&lt;=ConstructionEndDate),TRUE(),FALSE())</f>
        <v>0</v>
      </c>
      <c r="AR16" s="19" t="b">
        <f aca="false">IF(AND(AR14&gt;=ConstructionStartDate,AR14&lt;=ConstructionEndDate),TRUE(),FALSE())</f>
        <v>0</v>
      </c>
      <c r="AS16" s="19" t="b">
        <f aca="false">IF(AND(AS14&gt;=ConstructionStartDate,AS14&lt;=ConstructionEndDate),TRUE(),FALSE())</f>
        <v>0</v>
      </c>
      <c r="AT16" s="19" t="b">
        <f aca="false">IF(AND(AT14&gt;=ConstructionStartDate,AT14&lt;=ConstructionEndDate),TRUE(),FALSE())</f>
        <v>0</v>
      </c>
      <c r="AU16" s="19" t="b">
        <f aca="false">IF(AND(AU14&gt;=ConstructionStartDate,AU14&lt;=ConstructionEndDate),TRUE(),FALSE())</f>
        <v>0</v>
      </c>
      <c r="AV16" s="19" t="b">
        <f aca="false">IF(AND(AV14&gt;=ConstructionStartDate,AV14&lt;=ConstructionEndDate),TRUE(),FALSE())</f>
        <v>0</v>
      </c>
      <c r="AW16" s="19" t="b">
        <f aca="false">IF(AND(AW14&gt;=ConstructionStartDate,AW14&lt;=ConstructionEndDate),TRUE(),FALSE())</f>
        <v>0</v>
      </c>
      <c r="AX16" s="19" t="b">
        <f aca="false">IF(AND(AX14&gt;=ConstructionStartDate,AX14&lt;=ConstructionEndDate),TRUE(),FALSE())</f>
        <v>0</v>
      </c>
      <c r="AY16" s="19" t="b">
        <f aca="false">IF(AND(AY14&gt;=ConstructionStartDate,AY14&lt;=ConstructionEndDate),TRUE(),FALSE())</f>
        <v>0</v>
      </c>
      <c r="AZ16" s="19" t="b">
        <f aca="false">IF(AND(AZ14&gt;=ConstructionStartDate,AZ14&lt;=ConstructionEndDate),TRUE(),FALSE())</f>
        <v>0</v>
      </c>
      <c r="BA16" s="19" t="b">
        <f aca="false">IF(AND(BA14&gt;=ConstructionStartDate,BA14&lt;=ConstructionEndDate),TRUE(),FALSE())</f>
        <v>0</v>
      </c>
      <c r="BB16" s="19" t="b">
        <f aca="false">IF(AND(BB14&gt;=ConstructionStartDate,BB14&lt;=ConstructionEndDate),TRUE(),FALSE())</f>
        <v>0</v>
      </c>
      <c r="BC16" s="19" t="b">
        <f aca="false">IF(AND(BC14&gt;=ConstructionStartDate,BC14&lt;=ConstructionEndDate),TRUE(),FALSE())</f>
        <v>0</v>
      </c>
      <c r="BD16" s="19" t="b">
        <f aca="false">IF(AND(BD14&gt;=ConstructionStartDate,BD14&lt;=ConstructionEndDate),TRUE(),FALSE())</f>
        <v>0</v>
      </c>
      <c r="BE16" s="19" t="b">
        <f aca="false">IF(AND(BE14&gt;=ConstructionStartDate,BE14&lt;=ConstructionEndDate),TRUE(),FALSE())</f>
        <v>0</v>
      </c>
      <c r="BF16" s="19" t="b">
        <f aca="false">IF(AND(BF14&gt;=ConstructionStartDate,BF14&lt;=ConstructionEndDate),TRUE(),FALSE())</f>
        <v>0</v>
      </c>
      <c r="BG16" s="19" t="b">
        <f aca="false">IF(AND(BG14&gt;=ConstructionStartDate,BG14&lt;=ConstructionEndDate),TRUE(),FALSE())</f>
        <v>0</v>
      </c>
      <c r="BH16" s="19" t="b">
        <f aca="false">IF(AND(BH14&gt;=ConstructionStartDate,BH14&lt;=ConstructionEndDate),TRUE(),FALSE())</f>
        <v>0</v>
      </c>
      <c r="BI16" s="19" t="b">
        <f aca="false">IF(AND(BI14&gt;=ConstructionStartDate,BI14&lt;=ConstructionEndDate),TRUE(),FALSE())</f>
        <v>0</v>
      </c>
      <c r="BJ16" s="19" t="b">
        <f aca="false">IF(AND(BJ14&gt;=ConstructionStartDate,BJ14&lt;=ConstructionEndDate),TRUE(),FALSE())</f>
        <v>0</v>
      </c>
      <c r="BK16" s="19" t="b">
        <f aca="false">IF(AND(BK14&gt;=ConstructionStartDate,BK14&lt;=ConstructionEndDate),TRUE(),FALSE())</f>
        <v>0</v>
      </c>
      <c r="BL16" s="19" t="b">
        <f aca="false">IF(AND(BL14&gt;=ConstructionStartDate,BL14&lt;=ConstructionEndDate),TRUE(),FALSE())</f>
        <v>0</v>
      </c>
      <c r="BM16" s="19" t="b">
        <f aca="false">IF(AND(BM14&gt;=ConstructionStartDate,BM14&lt;=ConstructionEndDate),TRUE(),FALSE())</f>
        <v>0</v>
      </c>
      <c r="BN16" s="19" t="b">
        <f aca="false">IF(AND(BN14&gt;=ConstructionStartDate,BN14&lt;=ConstructionEndDate),TRUE(),FALSE())</f>
        <v>0</v>
      </c>
      <c r="BO16" s="19" t="b">
        <f aca="false">IF(AND(BO14&gt;=ConstructionStartDate,BO14&lt;=ConstructionEndDate),TRUE(),FALSE())</f>
        <v>0</v>
      </c>
      <c r="BP16" s="19" t="b">
        <f aca="false">IF(AND(BP14&gt;=ConstructionStartDate,BP14&lt;=ConstructionEndDate),TRUE(),FALSE())</f>
        <v>0</v>
      </c>
      <c r="BQ16" s="19" t="b">
        <f aca="false">IF(AND(BQ14&gt;=ConstructionStartDate,BQ14&lt;=ConstructionEndDate),TRUE(),FALSE())</f>
        <v>0</v>
      </c>
      <c r="BR16" s="19" t="b">
        <f aca="false">IF(AND(BR14&gt;=ConstructionStartDate,BR14&lt;=ConstructionEndDate),TRUE(),FALSE())</f>
        <v>0</v>
      </c>
      <c r="BS16" s="19" t="b">
        <f aca="false">IF(AND(BS14&gt;=ConstructionStartDate,BS14&lt;=ConstructionEndDate),TRUE(),FALSE())</f>
        <v>0</v>
      </c>
      <c r="BT16" s="19" t="b">
        <f aca="false">IF(AND(BT14&gt;=ConstructionStartDate,BT14&lt;=ConstructionEndDate),TRUE(),FALSE())</f>
        <v>0</v>
      </c>
      <c r="BU16" s="19" t="b">
        <f aca="false">IF(AND(BU14&gt;=ConstructionStartDate,BU14&lt;=ConstructionEndDate),TRUE(),FALSE())</f>
        <v>0</v>
      </c>
      <c r="BV16" s="19" t="b">
        <f aca="false">IF(AND(BV14&gt;=ConstructionStartDate,BV14&lt;=ConstructionEndDate),TRUE(),FALSE())</f>
        <v>0</v>
      </c>
      <c r="BW16" s="19" t="b">
        <f aca="false">IF(AND(BW14&gt;=ConstructionStartDate,BW14&lt;=ConstructionEndDate),TRUE(),FALSE())</f>
        <v>0</v>
      </c>
      <c r="BX16" s="19" t="b">
        <f aca="false">IF(AND(BX14&gt;=ConstructionStartDate,BX14&lt;=ConstructionEndDate),TRUE(),FALSE())</f>
        <v>0</v>
      </c>
      <c r="BY16" s="19" t="b">
        <f aca="false">IF(AND(BY14&gt;=ConstructionStartDate,BY14&lt;=ConstructionEndDate),TRUE(),FALSE())</f>
        <v>0</v>
      </c>
      <c r="BZ16" s="19" t="b">
        <f aca="false">IF(AND(BZ14&gt;=ConstructionStartDate,BZ14&lt;=ConstructionEndDate),TRUE(),FALSE())</f>
        <v>0</v>
      </c>
      <c r="CA16" s="19" t="b">
        <f aca="false">IF(AND(CA14&gt;=ConstructionStartDate,CA14&lt;=ConstructionEndDate),TRUE(),FALSE())</f>
        <v>0</v>
      </c>
      <c r="CB16" s="19" t="b">
        <f aca="false">IF(AND(CB14&gt;=ConstructionStartDate,CB14&lt;=ConstructionEndDate),TRUE(),FALSE())</f>
        <v>0</v>
      </c>
      <c r="CC16" s="19" t="b">
        <f aca="false">IF(AND(CC14&gt;=ConstructionStartDate,CC14&lt;=ConstructionEndDate),TRUE(),FALSE())</f>
        <v>0</v>
      </c>
      <c r="CD16" s="19" t="b">
        <f aca="false">IF(AND(CD14&gt;=ConstructionStartDate,CD14&lt;=ConstructionEndDate),TRUE(),FALSE())</f>
        <v>0</v>
      </c>
      <c r="CE16" s="19" t="b">
        <f aca="false">IF(AND(CE14&gt;=ConstructionStartDate,CE14&lt;=ConstructionEndDate),TRUE(),FALSE())</f>
        <v>0</v>
      </c>
      <c r="CF16" s="19" t="b">
        <f aca="false">IF(AND(CF14&gt;=ConstructionStartDate,CF14&lt;=ConstructionEndDate),TRUE(),FALSE())</f>
        <v>0</v>
      </c>
      <c r="CG16" s="19" t="b">
        <f aca="false">IF(AND(CG14&gt;=ConstructionStartDate,CG14&lt;=ConstructionEndDate),TRUE(),FALSE())</f>
        <v>0</v>
      </c>
      <c r="CH16" s="19" t="b">
        <f aca="false">IF(AND(CH14&gt;=ConstructionStartDate,CH14&lt;=ConstructionEndDate),TRUE(),FALSE())</f>
        <v>0</v>
      </c>
      <c r="CI16" s="19" t="b">
        <f aca="false">IF(AND(CI14&gt;=ConstructionStartDate,CI14&lt;=ConstructionEndDate),TRUE(),FALSE())</f>
        <v>0</v>
      </c>
      <c r="CJ16" s="19" t="b">
        <f aca="false">IF(AND(CJ14&gt;=ConstructionStartDate,CJ14&lt;=ConstructionEndDate),TRUE(),FALSE())</f>
        <v>0</v>
      </c>
      <c r="CK16" s="19" t="b">
        <f aca="false">IF(AND(CK14&gt;=ConstructionStartDate,CK14&lt;=ConstructionEndDate),TRUE(),FALSE())</f>
        <v>0</v>
      </c>
      <c r="CL16" s="19" t="b">
        <f aca="false">IF(AND(CL14&gt;=ConstructionStartDate,CL14&lt;=ConstructionEndDate),TRUE(),FALSE())</f>
        <v>0</v>
      </c>
      <c r="CM16" s="19" t="b">
        <f aca="false">IF(AND(CM14&gt;=ConstructionStartDate,CM14&lt;=ConstructionEndDate),TRUE(),FALSE())</f>
        <v>0</v>
      </c>
      <c r="CN16" s="19" t="b">
        <f aca="false">IF(AND(CN14&gt;=ConstructionStartDate,CN14&lt;=ConstructionEndDate),TRUE(),FALSE())</f>
        <v>0</v>
      </c>
      <c r="CO16" s="19" t="b">
        <f aca="false">IF(AND(CO14&gt;=ConstructionStartDate,CO14&lt;=ConstructionEndDate),TRUE(),FALSE())</f>
        <v>0</v>
      </c>
      <c r="CP16" s="19" t="b">
        <f aca="false">IF(AND(CP14&gt;=ConstructionStartDate,CP14&lt;=ConstructionEndDate),TRUE(),FALSE())</f>
        <v>0</v>
      </c>
      <c r="CQ16" s="19" t="b">
        <f aca="false">IF(AND(CQ14&gt;=ConstructionStartDate,CQ14&lt;=ConstructionEndDate),TRUE(),FALSE())</f>
        <v>0</v>
      </c>
      <c r="CR16" s="19" t="b">
        <f aca="false">IF(AND(CR14&gt;=ConstructionStartDate,CR14&lt;=ConstructionEndDate),TRUE(),FALSE())</f>
        <v>0</v>
      </c>
      <c r="CS16" s="19" t="b">
        <f aca="false">IF(AND(CS14&gt;=ConstructionStartDate,CS14&lt;=ConstructionEndDate),TRUE(),FALSE())</f>
        <v>0</v>
      </c>
      <c r="CT16" s="19" t="b">
        <f aca="false">IF(AND(CT14&gt;=ConstructionStartDate,CT14&lt;=ConstructionEndDate),TRUE(),FALSE())</f>
        <v>0</v>
      </c>
      <c r="CU16" s="19" t="b">
        <f aca="false">IF(AND(CU14&gt;=ConstructionStartDate,CU14&lt;=ConstructionEndDate),TRUE(),FALSE())</f>
        <v>0</v>
      </c>
      <c r="CV16" s="19" t="b">
        <f aca="false">IF(AND(CV14&gt;=ConstructionStartDate,CV14&lt;=ConstructionEndDate),TRUE(),FALSE())</f>
        <v>0</v>
      </c>
      <c r="CW16" s="19" t="b">
        <f aca="false">IF(AND(CW14&gt;=ConstructionStartDate,CW14&lt;=ConstructionEndDate),TRUE(),FALSE())</f>
        <v>0</v>
      </c>
      <c r="CX16" s="19" t="b">
        <f aca="false">IF(AND(CX14&gt;=ConstructionStartDate,CX14&lt;=ConstructionEndDate),TRUE(),FALSE())</f>
        <v>0</v>
      </c>
      <c r="CY16" s="19" t="b">
        <f aca="false">IF(AND(CY14&gt;=ConstructionStartDate,CY14&lt;=ConstructionEndDate),TRUE(),FALSE())</f>
        <v>0</v>
      </c>
      <c r="CZ16" s="19" t="b">
        <f aca="false">IF(AND(CZ14&gt;=ConstructionStartDate,CZ14&lt;=ConstructionEndDate),TRUE(),FALSE())</f>
        <v>0</v>
      </c>
      <c r="DA16" s="19" t="b">
        <f aca="false">IF(AND(DA14&gt;=ConstructionStartDate,DA14&lt;=ConstructionEndDate),TRUE(),FALSE())</f>
        <v>0</v>
      </c>
      <c r="DB16" s="19" t="b">
        <f aca="false">IF(AND(DB14&gt;=ConstructionStartDate,DB14&lt;=ConstructionEndDate),TRUE(),FALSE())</f>
        <v>0</v>
      </c>
      <c r="DC16" s="19" t="b">
        <f aca="false">IF(AND(DC14&gt;=ConstructionStartDate,DC14&lt;=ConstructionEndDate),TRUE(),FALSE())</f>
        <v>0</v>
      </c>
      <c r="DD16" s="19" t="b">
        <f aca="false">IF(AND(DD14&gt;=ConstructionStartDate,DD14&lt;=ConstructionEndDate),TRUE(),FALSE())</f>
        <v>0</v>
      </c>
      <c r="DE16" s="19" t="b">
        <f aca="false">IF(AND(DE14&gt;=ConstructionStartDate,DE14&lt;=ConstructionEndDate),TRUE(),FALSE())</f>
        <v>0</v>
      </c>
      <c r="DF16" s="19" t="b">
        <f aca="false">IF(AND(DF14&gt;=ConstructionStartDate,DF14&lt;=ConstructionEndDate),TRUE(),FALSE())</f>
        <v>0</v>
      </c>
      <c r="DG16" s="19" t="b">
        <f aca="false">IF(AND(DG14&gt;=ConstructionStartDate,DG14&lt;=ConstructionEndDate),TRUE(),FALSE())</f>
        <v>0</v>
      </c>
      <c r="DH16" s="19" t="b">
        <f aca="false">IF(AND(DH14&gt;=ConstructionStartDate,DH14&lt;=ConstructionEndDate),TRUE(),FALSE())</f>
        <v>0</v>
      </c>
      <c r="DI16" s="19" t="b">
        <f aca="false">IF(AND(DI14&gt;=ConstructionStartDate,DI14&lt;=ConstructionEndDate),TRUE(),FALSE())</f>
        <v>0</v>
      </c>
      <c r="DJ16" s="19" t="b">
        <f aca="false">IF(AND(DJ14&gt;=ConstructionStartDate,DJ14&lt;=ConstructionEndDate),TRUE(),FALSE())</f>
        <v>0</v>
      </c>
      <c r="DK16" s="19" t="b">
        <f aca="false">IF(AND(DK14&gt;=ConstructionStartDate,DK14&lt;=ConstructionEndDate),TRUE(),FALSE())</f>
        <v>0</v>
      </c>
      <c r="DL16" s="19" t="b">
        <f aca="false">IF(AND(DL14&gt;=ConstructionStartDate,DL14&lt;=ConstructionEndDate),TRUE(),FALSE())</f>
        <v>0</v>
      </c>
      <c r="DM16" s="19" t="b">
        <f aca="false">IF(AND(DM14&gt;=ConstructionStartDate,DM14&lt;=ConstructionEndDate),TRUE(),FALSE())</f>
        <v>0</v>
      </c>
      <c r="DN16" s="19" t="b">
        <f aca="false">IF(AND(DN14&gt;=ConstructionStartDate,DN14&lt;=ConstructionEndDate),TRUE(),FALSE())</f>
        <v>0</v>
      </c>
      <c r="DO16" s="19" t="b">
        <f aca="false">IF(AND(DO14&gt;=ConstructionStartDate,DO14&lt;=ConstructionEndDate),TRUE(),FALSE())</f>
        <v>0</v>
      </c>
      <c r="DP16" s="19" t="b">
        <f aca="false">IF(AND(DP14&gt;=ConstructionStartDate,DP14&lt;=ConstructionEndDate),TRUE(),FALSE())</f>
        <v>0</v>
      </c>
      <c r="DQ16" s="19" t="b">
        <f aca="false">IF(AND(DQ14&gt;=ConstructionStartDate,DQ14&lt;=ConstructionEndDate),TRUE(),FALSE())</f>
        <v>0</v>
      </c>
      <c r="DR16" s="19" t="b">
        <f aca="false">IF(AND(DR14&gt;=ConstructionStartDate,DR14&lt;=ConstructionEndDate),TRUE(),FALSE())</f>
        <v>0</v>
      </c>
      <c r="DS16" s="19" t="b">
        <f aca="false">IF(AND(DS14&gt;=ConstructionStartDate,DS14&lt;=ConstructionEndDate),TRUE(),FALSE())</f>
        <v>0</v>
      </c>
      <c r="DT16" s="19" t="b">
        <f aca="false">IF(AND(DT14&gt;=ConstructionStartDate,DT14&lt;=ConstructionEndDate),TRUE(),FALSE())</f>
        <v>0</v>
      </c>
      <c r="DU16" s="19" t="b">
        <f aca="false">IF(AND(DU14&gt;=ConstructionStartDate,DU14&lt;=ConstructionEndDate),TRUE(),FALSE())</f>
        <v>0</v>
      </c>
      <c r="DV16" s="19" t="b">
        <f aca="false">IF(AND(DV14&gt;=ConstructionStartDate,DV14&lt;=ConstructionEndDate),TRUE(),FALSE())</f>
        <v>0</v>
      </c>
      <c r="DW16" s="19" t="b">
        <f aca="false">IF(AND(DW14&gt;=ConstructionStartDate,DW14&lt;=ConstructionEndDate),TRUE(),FALSE())</f>
        <v>0</v>
      </c>
      <c r="DX16" s="19" t="b">
        <f aca="false">IF(AND(DX14&gt;=ConstructionStartDate,DX14&lt;=ConstructionEndDate),TRUE(),FALSE())</f>
        <v>0</v>
      </c>
      <c r="DY16" s="19" t="b">
        <f aca="false">IF(AND(DY14&gt;=ConstructionStartDate,DY14&lt;=ConstructionEndDate),TRUE(),FALSE())</f>
        <v>0</v>
      </c>
      <c r="DZ16" s="19" t="b">
        <f aca="false">IF(AND(DZ14&gt;=ConstructionStartDate,DZ14&lt;=ConstructionEndDate),TRUE(),FALSE())</f>
        <v>0</v>
      </c>
      <c r="EA16" s="19" t="b">
        <f aca="false">IF(AND(EA14&gt;=ConstructionStartDate,EA14&lt;=ConstructionEndDate),TRUE(),FALSE())</f>
        <v>0</v>
      </c>
      <c r="EB16" s="19" t="b">
        <f aca="false">IF(AND(EB14&gt;=ConstructionStartDate,EB14&lt;=ConstructionEndDate),TRUE(),FALSE())</f>
        <v>0</v>
      </c>
      <c r="EC16" s="19" t="b">
        <f aca="false">IF(AND(EC14&gt;=ConstructionStartDate,EC14&lt;=ConstructionEndDate),TRUE(),FALSE())</f>
        <v>0</v>
      </c>
      <c r="ED16" s="19" t="b">
        <f aca="false">IF(AND(ED14&gt;=ConstructionStartDate,ED14&lt;=ConstructionEndDate),TRUE(),FALSE())</f>
        <v>0</v>
      </c>
      <c r="EE16" s="19" t="b">
        <f aca="false">IF(AND(EE14&gt;=ConstructionStartDate,EE14&lt;=ConstructionEndDate),TRUE(),FALSE())</f>
        <v>0</v>
      </c>
      <c r="EF16" s="19" t="b">
        <f aca="false">IF(AND(EF14&gt;=ConstructionStartDate,EF14&lt;=ConstructionEndDate),TRUE(),FALSE())</f>
        <v>0</v>
      </c>
      <c r="EG16" s="19" t="b">
        <f aca="false">IF(AND(EG14&gt;=ConstructionStartDate,EG14&lt;=ConstructionEndDate),TRUE(),FALSE())</f>
        <v>0</v>
      </c>
      <c r="EH16" s="19" t="b">
        <f aca="false">IF(AND(EH14&gt;=ConstructionStartDate,EH14&lt;=ConstructionEndDate),TRUE(),FALSE())</f>
        <v>0</v>
      </c>
      <c r="EI16" s="19" t="b">
        <f aca="false">IF(AND(EI14&gt;=ConstructionStartDate,EI14&lt;=ConstructionEndDate),TRUE(),FALSE())</f>
        <v>0</v>
      </c>
      <c r="EJ16" s="19" t="b">
        <f aca="false">IF(AND(EJ14&gt;=ConstructionStartDate,EJ14&lt;=ConstructionEndDate),TRUE(),FALSE())</f>
        <v>0</v>
      </c>
      <c r="EK16" s="19" t="b">
        <f aca="false">IF(AND(EK14&gt;=ConstructionStartDate,EK14&lt;=ConstructionEndDate),TRUE(),FALSE())</f>
        <v>0</v>
      </c>
      <c r="EL16" s="19" t="b">
        <f aca="false">IF(AND(EL14&gt;=ConstructionStartDate,EL14&lt;=ConstructionEndDate),TRUE(),FALSE())</f>
        <v>0</v>
      </c>
      <c r="EM16" s="19" t="b">
        <f aca="false">IF(AND(EM14&gt;=ConstructionStartDate,EM14&lt;=ConstructionEndDate),TRUE(),FALSE())</f>
        <v>0</v>
      </c>
      <c r="EN16" s="19" t="b">
        <f aca="false">IF(AND(EN14&gt;=ConstructionStartDate,EN14&lt;=ConstructionEndDate),TRUE(),FALSE())</f>
        <v>0</v>
      </c>
      <c r="EO16" s="19" t="b">
        <f aca="false">IF(AND(EO14&gt;=ConstructionStartDate,EO14&lt;=ConstructionEndDate),TRUE(),FALSE())</f>
        <v>0</v>
      </c>
      <c r="EP16" s="19" t="b">
        <f aca="false">IF(AND(EP14&gt;=ConstructionStartDate,EP14&lt;=ConstructionEndDate),TRUE(),FALSE())</f>
        <v>0</v>
      </c>
      <c r="EQ16" s="19" t="b">
        <f aca="false">IF(AND(EQ14&gt;=ConstructionStartDate,EQ14&lt;=ConstructionEndDate),TRUE(),FALSE())</f>
        <v>0</v>
      </c>
      <c r="ER16" s="19" t="b">
        <f aca="false">IF(AND(ER14&gt;=ConstructionStartDate,ER14&lt;=ConstructionEndDate),TRUE(),FALSE())</f>
        <v>0</v>
      </c>
      <c r="ES16" s="19" t="b">
        <f aca="false">IF(AND(ES14&gt;=ConstructionStartDate,ES14&lt;=ConstructionEndDate),TRUE(),FALSE())</f>
        <v>0</v>
      </c>
      <c r="ET16" s="19" t="b">
        <f aca="false">IF(AND(ET14&gt;=ConstructionStartDate,ET14&lt;=ConstructionEndDate),TRUE(),FALSE())</f>
        <v>0</v>
      </c>
      <c r="EU16" s="19" t="b">
        <f aca="false">IF(AND(EU14&gt;=ConstructionStartDate,EU14&lt;=ConstructionEndDate),TRUE(),FALSE())</f>
        <v>0</v>
      </c>
      <c r="EV16" s="19" t="b">
        <f aca="false">IF(AND(EV14&gt;=ConstructionStartDate,EV14&lt;=ConstructionEndDate),TRUE(),FALSE())</f>
        <v>0</v>
      </c>
      <c r="EW16" s="19" t="b">
        <f aca="false">IF(AND(EW14&gt;=ConstructionStartDate,EW14&lt;=ConstructionEndDate),TRUE(),FALSE())</f>
        <v>0</v>
      </c>
      <c r="EX16" s="19" t="b">
        <f aca="false">IF(AND(EX14&gt;=ConstructionStartDate,EX14&lt;=ConstructionEndDate),TRUE(),FALSE())</f>
        <v>0</v>
      </c>
      <c r="EY16" s="19" t="b">
        <f aca="false">IF(AND(EY14&gt;=ConstructionStartDate,EY14&lt;=ConstructionEndDate),TRUE(),FALSE())</f>
        <v>0</v>
      </c>
      <c r="EZ16" s="19" t="b">
        <f aca="false">IF(AND(EZ14&gt;=ConstructionStartDate,EZ14&lt;=ConstructionEndDate),TRUE(),FALSE())</f>
        <v>0</v>
      </c>
      <c r="FA16" s="19" t="b">
        <f aca="false">IF(AND(FA14&gt;=ConstructionStartDate,FA14&lt;=ConstructionEndDate),TRUE(),FALSE())</f>
        <v>0</v>
      </c>
      <c r="FB16" s="19" t="b">
        <f aca="false">IF(AND(FB14&gt;=ConstructionStartDate,FB14&lt;=ConstructionEndDate),TRUE(),FALSE())</f>
        <v>0</v>
      </c>
      <c r="FC16" s="19" t="b">
        <f aca="false">IF(AND(FC14&gt;=ConstructionStartDate,FC14&lt;=ConstructionEndDate),TRUE(),FALSE())</f>
        <v>0</v>
      </c>
      <c r="FD16" s="19" t="b">
        <f aca="false">IF(AND(FD14&gt;=ConstructionStartDate,FD14&lt;=ConstructionEndDate),TRUE(),FALSE())</f>
        <v>0</v>
      </c>
      <c r="FE16" s="19" t="b">
        <f aca="false">IF(AND(FE14&gt;=ConstructionStartDate,FE14&lt;=ConstructionEndDate),TRUE(),FALSE())</f>
        <v>0</v>
      </c>
      <c r="FF16" s="19" t="b">
        <f aca="false">IF(AND(FF14&gt;=ConstructionStartDate,FF14&lt;=ConstructionEndDate),TRUE(),FALSE())</f>
        <v>0</v>
      </c>
      <c r="FG16" s="19" t="b">
        <f aca="false">IF(AND(FG14&gt;=ConstructionStartDate,FG14&lt;=ConstructionEndDate),TRUE(),FALSE())</f>
        <v>0</v>
      </c>
      <c r="FH16" s="19" t="b">
        <f aca="false">IF(AND(FH14&gt;=ConstructionStartDate,FH14&lt;=ConstructionEndDate),TRUE(),FALSE())</f>
        <v>0</v>
      </c>
      <c r="FI16" s="19" t="b">
        <f aca="false">IF(AND(FI14&gt;=ConstructionStartDate,FI14&lt;=ConstructionEndDate),TRUE(),FALSE())</f>
        <v>0</v>
      </c>
      <c r="FJ16" s="19" t="b">
        <f aca="false">IF(AND(FJ14&gt;=ConstructionStartDate,FJ14&lt;=ConstructionEndDate),TRUE(),FALSE())</f>
        <v>0</v>
      </c>
      <c r="FK16" s="19" t="b">
        <f aca="false">IF(AND(FK14&gt;=ConstructionStartDate,FK14&lt;=ConstructionEndDate),TRUE(),FALSE())</f>
        <v>0</v>
      </c>
    </row>
    <row r="17" customFormat="false" ht="15" hidden="false" customHeight="true" outlineLevel="0" collapsed="false">
      <c r="D17" s="16" t="s">
        <v>66</v>
      </c>
      <c r="H17" s="19" t="b">
        <f aca="false">IF(AND(H14&gt;=OperationsStartDate,H14&lt;=OperationsEndDate),TRUE(),FALSE())</f>
        <v>0</v>
      </c>
      <c r="I17" s="19" t="b">
        <f aca="false">IF(AND(I14&gt;=OperationsStartDate,I14&lt;=OperationsEndDate),TRUE(),FALSE())</f>
        <v>0</v>
      </c>
      <c r="J17" s="19" t="b">
        <f aca="false">IF(AND(J14&gt;=OperationsStartDate,J14&lt;=OperationsEndDate),TRUE(),FALSE())</f>
        <v>0</v>
      </c>
      <c r="K17" s="19" t="b">
        <f aca="false">IF(AND(K14&gt;=OperationsStartDate,K14&lt;=OperationsEndDate),TRUE(),FALSE())</f>
        <v>0</v>
      </c>
      <c r="L17" s="19" t="b">
        <f aca="false">IF(AND(L14&gt;=OperationsStartDate,L14&lt;=OperationsEndDate),TRUE(),FALSE())</f>
        <v>1</v>
      </c>
      <c r="M17" s="19" t="b">
        <f aca="false">IF(AND(M14&gt;=OperationsStartDate,M14&lt;=OperationsEndDate),TRUE(),FALSE())</f>
        <v>1</v>
      </c>
      <c r="N17" s="19" t="b">
        <f aca="false">IF(AND(N14&gt;=OperationsStartDate,N14&lt;=OperationsEndDate),TRUE(),FALSE())</f>
        <v>1</v>
      </c>
      <c r="O17" s="19" t="b">
        <f aca="false">IF(AND(O14&gt;=OperationsStartDate,O14&lt;=OperationsEndDate),TRUE(),FALSE())</f>
        <v>1</v>
      </c>
      <c r="P17" s="19" t="b">
        <f aca="false">IF(AND(P14&gt;=OperationsStartDate,P14&lt;=OperationsEndDate),TRUE(),FALSE())</f>
        <v>1</v>
      </c>
      <c r="Q17" s="19" t="b">
        <f aca="false">IF(AND(Q14&gt;=OperationsStartDate,Q14&lt;=OperationsEndDate),TRUE(),FALSE())</f>
        <v>1</v>
      </c>
      <c r="R17" s="19" t="b">
        <f aca="false">IF(AND(R14&gt;=OperationsStartDate,R14&lt;=OperationsEndDate),TRUE(),FALSE())</f>
        <v>1</v>
      </c>
      <c r="S17" s="19" t="b">
        <f aca="false">IF(AND(S14&gt;=OperationsStartDate,S14&lt;=OperationsEndDate),TRUE(),FALSE())</f>
        <v>1</v>
      </c>
      <c r="T17" s="19" t="b">
        <f aca="false">IF(AND(T14&gt;=OperationsStartDate,T14&lt;=OperationsEndDate),TRUE(),FALSE())</f>
        <v>1</v>
      </c>
      <c r="U17" s="19" t="b">
        <f aca="false">IF(AND(U14&gt;=OperationsStartDate,U14&lt;=OperationsEndDate),TRUE(),FALSE())</f>
        <v>1</v>
      </c>
      <c r="V17" s="19" t="b">
        <f aca="false">IF(AND(V14&gt;=OperationsStartDate,V14&lt;=OperationsEndDate),TRUE(),FALSE())</f>
        <v>1</v>
      </c>
      <c r="W17" s="19" t="b">
        <f aca="false">IF(AND(W14&gt;=OperationsStartDate,W14&lt;=OperationsEndDate),TRUE(),FALSE())</f>
        <v>1</v>
      </c>
      <c r="X17" s="19" t="b">
        <f aca="false">IF(AND(X14&gt;=OperationsStartDate,X14&lt;=OperationsEndDate),TRUE(),FALSE())</f>
        <v>1</v>
      </c>
      <c r="Y17" s="19" t="b">
        <f aca="false">IF(AND(Y14&gt;=OperationsStartDate,Y14&lt;=OperationsEndDate),TRUE(),FALSE())</f>
        <v>1</v>
      </c>
      <c r="Z17" s="19" t="b">
        <f aca="false">IF(AND(Z14&gt;=OperationsStartDate,Z14&lt;=OperationsEndDate),TRUE(),FALSE())</f>
        <v>1</v>
      </c>
      <c r="AA17" s="19" t="b">
        <f aca="false">IF(AND(AA14&gt;=OperationsStartDate,AA14&lt;=OperationsEndDate),TRUE(),FALSE())</f>
        <v>1</v>
      </c>
      <c r="AB17" s="19" t="b">
        <f aca="false">IF(AND(AB14&gt;=OperationsStartDate,AB14&lt;=OperationsEndDate),TRUE(),FALSE())</f>
        <v>1</v>
      </c>
      <c r="AC17" s="19" t="b">
        <f aca="false">IF(AND(AC14&gt;=OperationsStartDate,AC14&lt;=OperationsEndDate),TRUE(),FALSE())</f>
        <v>1</v>
      </c>
      <c r="AD17" s="19" t="b">
        <f aca="false">IF(AND(AD14&gt;=OperationsStartDate,AD14&lt;=OperationsEndDate),TRUE(),FALSE())</f>
        <v>1</v>
      </c>
      <c r="AE17" s="19" t="b">
        <f aca="false">IF(AND(AE14&gt;=OperationsStartDate,AE14&lt;=OperationsEndDate),TRUE(),FALSE())</f>
        <v>1</v>
      </c>
      <c r="AF17" s="19" t="b">
        <f aca="false">IF(AND(AF14&gt;=OperationsStartDate,AF14&lt;=OperationsEndDate),TRUE(),FALSE())</f>
        <v>1</v>
      </c>
      <c r="AG17" s="19" t="b">
        <f aca="false">IF(AND(AG14&gt;=OperationsStartDate,AG14&lt;=OperationsEndDate),TRUE(),FALSE())</f>
        <v>1</v>
      </c>
      <c r="AH17" s="19" t="b">
        <f aca="false">IF(AND(AH14&gt;=OperationsStartDate,AH14&lt;=OperationsEndDate),TRUE(),FALSE())</f>
        <v>1</v>
      </c>
      <c r="AI17" s="19" t="b">
        <f aca="false">IF(AND(AI14&gt;=OperationsStartDate,AI14&lt;=OperationsEndDate),TRUE(),FALSE())</f>
        <v>1</v>
      </c>
      <c r="AJ17" s="19" t="b">
        <f aca="false">IF(AND(AJ14&gt;=OperationsStartDate,AJ14&lt;=OperationsEndDate),TRUE(),FALSE())</f>
        <v>1</v>
      </c>
      <c r="AK17" s="19" t="b">
        <f aca="false">IF(AND(AK14&gt;=OperationsStartDate,AK14&lt;=OperationsEndDate),TRUE(),FALSE())</f>
        <v>1</v>
      </c>
      <c r="AL17" s="19" t="b">
        <f aca="false">IF(AND(AL14&gt;=OperationsStartDate,AL14&lt;=OperationsEndDate),TRUE(),FALSE())</f>
        <v>1</v>
      </c>
      <c r="AM17" s="19" t="b">
        <f aca="false">IF(AND(AM14&gt;=OperationsStartDate,AM14&lt;=OperationsEndDate),TRUE(),FALSE())</f>
        <v>1</v>
      </c>
      <c r="AN17" s="19" t="b">
        <f aca="false">IF(AND(AN14&gt;=OperationsStartDate,AN14&lt;=OperationsEndDate),TRUE(),FALSE())</f>
        <v>1</v>
      </c>
      <c r="AO17" s="19" t="b">
        <f aca="false">IF(AND(AO14&gt;=OperationsStartDate,AO14&lt;=OperationsEndDate),TRUE(),FALSE())</f>
        <v>1</v>
      </c>
      <c r="AP17" s="19" t="b">
        <f aca="false">IF(AND(AP14&gt;=OperationsStartDate,AP14&lt;=OperationsEndDate),TRUE(),FALSE())</f>
        <v>1</v>
      </c>
      <c r="AQ17" s="19" t="b">
        <f aca="false">IF(AND(AQ14&gt;=OperationsStartDate,AQ14&lt;=OperationsEndDate),TRUE(),FALSE())</f>
        <v>1</v>
      </c>
      <c r="AR17" s="19" t="b">
        <f aca="false">IF(AND(AR14&gt;=OperationsStartDate,AR14&lt;=OperationsEndDate),TRUE(),FALSE())</f>
        <v>1</v>
      </c>
      <c r="AS17" s="19" t="b">
        <f aca="false">IF(AND(AS14&gt;=OperationsStartDate,AS14&lt;=OperationsEndDate),TRUE(),FALSE())</f>
        <v>1</v>
      </c>
      <c r="AT17" s="19" t="b">
        <f aca="false">IF(AND(AT14&gt;=OperationsStartDate,AT14&lt;=OperationsEndDate),TRUE(),FALSE())</f>
        <v>1</v>
      </c>
      <c r="AU17" s="19" t="b">
        <f aca="false">IF(AND(AU14&gt;=OperationsStartDate,AU14&lt;=OperationsEndDate),TRUE(),FALSE())</f>
        <v>1</v>
      </c>
      <c r="AV17" s="19" t="b">
        <f aca="false">IF(AND(AV14&gt;=OperationsStartDate,AV14&lt;=OperationsEndDate),TRUE(),FALSE())</f>
        <v>1</v>
      </c>
      <c r="AW17" s="19" t="b">
        <f aca="false">IF(AND(AW14&gt;=OperationsStartDate,AW14&lt;=OperationsEndDate),TRUE(),FALSE())</f>
        <v>1</v>
      </c>
      <c r="AX17" s="19" t="b">
        <f aca="false">IF(AND(AX14&gt;=OperationsStartDate,AX14&lt;=OperationsEndDate),TRUE(),FALSE())</f>
        <v>1</v>
      </c>
      <c r="AY17" s="19" t="b">
        <f aca="false">IF(AND(AY14&gt;=OperationsStartDate,AY14&lt;=OperationsEndDate),TRUE(),FALSE())</f>
        <v>1</v>
      </c>
      <c r="AZ17" s="19" t="b">
        <f aca="false">IF(AND(AZ14&gt;=OperationsStartDate,AZ14&lt;=OperationsEndDate),TRUE(),FALSE())</f>
        <v>1</v>
      </c>
      <c r="BA17" s="19" t="b">
        <f aca="false">IF(AND(BA14&gt;=OperationsStartDate,BA14&lt;=OperationsEndDate),TRUE(),FALSE())</f>
        <v>1</v>
      </c>
      <c r="BB17" s="19" t="b">
        <f aca="false">IF(AND(BB14&gt;=OperationsStartDate,BB14&lt;=OperationsEndDate),TRUE(),FALSE())</f>
        <v>1</v>
      </c>
      <c r="BC17" s="19" t="b">
        <f aca="false">IF(AND(BC14&gt;=OperationsStartDate,BC14&lt;=OperationsEndDate),TRUE(),FALSE())</f>
        <v>1</v>
      </c>
      <c r="BD17" s="19" t="b">
        <f aca="false">IF(AND(BD14&gt;=OperationsStartDate,BD14&lt;=OperationsEndDate),TRUE(),FALSE())</f>
        <v>1</v>
      </c>
      <c r="BE17" s="19" t="b">
        <f aca="false">IF(AND(BE14&gt;=OperationsStartDate,BE14&lt;=OperationsEndDate),TRUE(),FALSE())</f>
        <v>1</v>
      </c>
      <c r="BF17" s="19" t="b">
        <f aca="false">IF(AND(BF14&gt;=OperationsStartDate,BF14&lt;=OperationsEndDate),TRUE(),FALSE())</f>
        <v>1</v>
      </c>
      <c r="BG17" s="19" t="b">
        <f aca="false">IF(AND(BG14&gt;=OperationsStartDate,BG14&lt;=OperationsEndDate),TRUE(),FALSE())</f>
        <v>1</v>
      </c>
      <c r="BH17" s="19" t="b">
        <f aca="false">IF(AND(BH14&gt;=OperationsStartDate,BH14&lt;=OperationsEndDate),TRUE(),FALSE())</f>
        <v>1</v>
      </c>
      <c r="BI17" s="19" t="b">
        <f aca="false">IF(AND(BI14&gt;=OperationsStartDate,BI14&lt;=OperationsEndDate),TRUE(),FALSE())</f>
        <v>1</v>
      </c>
      <c r="BJ17" s="19" t="b">
        <f aca="false">IF(AND(BJ14&gt;=OperationsStartDate,BJ14&lt;=OperationsEndDate),TRUE(),FALSE())</f>
        <v>1</v>
      </c>
      <c r="BK17" s="19" t="b">
        <f aca="false">IF(AND(BK14&gt;=OperationsStartDate,BK14&lt;=OperationsEndDate),TRUE(),FALSE())</f>
        <v>1</v>
      </c>
      <c r="BL17" s="19" t="b">
        <f aca="false">IF(AND(BL14&gt;=OperationsStartDate,BL14&lt;=OperationsEndDate),TRUE(),FALSE())</f>
        <v>1</v>
      </c>
      <c r="BM17" s="19" t="b">
        <f aca="false">IF(AND(BM14&gt;=OperationsStartDate,BM14&lt;=OperationsEndDate),TRUE(),FALSE())</f>
        <v>1</v>
      </c>
      <c r="BN17" s="19" t="b">
        <f aca="false">IF(AND(BN14&gt;=OperationsStartDate,BN14&lt;=OperationsEndDate),TRUE(),FALSE())</f>
        <v>1</v>
      </c>
      <c r="BO17" s="19" t="b">
        <f aca="false">IF(AND(BO14&gt;=OperationsStartDate,BO14&lt;=OperationsEndDate),TRUE(),FALSE())</f>
        <v>1</v>
      </c>
      <c r="BP17" s="19" t="b">
        <f aca="false">IF(AND(BP14&gt;=OperationsStartDate,BP14&lt;=OperationsEndDate),TRUE(),FALSE())</f>
        <v>1</v>
      </c>
      <c r="BQ17" s="19" t="b">
        <f aca="false">IF(AND(BQ14&gt;=OperationsStartDate,BQ14&lt;=OperationsEndDate),TRUE(),FALSE())</f>
        <v>1</v>
      </c>
      <c r="BR17" s="19" t="b">
        <f aca="false">IF(AND(BR14&gt;=OperationsStartDate,BR14&lt;=OperationsEndDate),TRUE(),FALSE())</f>
        <v>1</v>
      </c>
      <c r="BS17" s="19" t="b">
        <f aca="false">IF(AND(BS14&gt;=OperationsStartDate,BS14&lt;=OperationsEndDate),TRUE(),FALSE())</f>
        <v>1</v>
      </c>
      <c r="BT17" s="19" t="b">
        <f aca="false">IF(AND(BT14&gt;=OperationsStartDate,BT14&lt;=OperationsEndDate),TRUE(),FALSE())</f>
        <v>1</v>
      </c>
      <c r="BU17" s="19" t="b">
        <f aca="false">IF(AND(BU14&gt;=OperationsStartDate,BU14&lt;=OperationsEndDate),TRUE(),FALSE())</f>
        <v>1</v>
      </c>
      <c r="BV17" s="19" t="b">
        <f aca="false">IF(AND(BV14&gt;=OperationsStartDate,BV14&lt;=OperationsEndDate),TRUE(),FALSE())</f>
        <v>1</v>
      </c>
      <c r="BW17" s="19" t="b">
        <f aca="false">IF(AND(BW14&gt;=OperationsStartDate,BW14&lt;=OperationsEndDate),TRUE(),FALSE())</f>
        <v>1</v>
      </c>
      <c r="BX17" s="19" t="b">
        <f aca="false">IF(AND(BX14&gt;=OperationsStartDate,BX14&lt;=OperationsEndDate),TRUE(),FALSE())</f>
        <v>1</v>
      </c>
      <c r="BY17" s="19" t="b">
        <f aca="false">IF(AND(BY14&gt;=OperationsStartDate,BY14&lt;=OperationsEndDate),TRUE(),FALSE())</f>
        <v>1</v>
      </c>
      <c r="BZ17" s="19" t="b">
        <f aca="false">IF(AND(BZ14&gt;=OperationsStartDate,BZ14&lt;=OperationsEndDate),TRUE(),FALSE())</f>
        <v>1</v>
      </c>
      <c r="CA17" s="19" t="b">
        <f aca="false">IF(AND(CA14&gt;=OperationsStartDate,CA14&lt;=OperationsEndDate),TRUE(),FALSE())</f>
        <v>1</v>
      </c>
      <c r="CB17" s="19" t="b">
        <f aca="false">IF(AND(CB14&gt;=OperationsStartDate,CB14&lt;=OperationsEndDate),TRUE(),FALSE())</f>
        <v>1</v>
      </c>
      <c r="CC17" s="19" t="b">
        <f aca="false">IF(AND(CC14&gt;=OperationsStartDate,CC14&lt;=OperationsEndDate),TRUE(),FALSE())</f>
        <v>1</v>
      </c>
      <c r="CD17" s="19" t="b">
        <f aca="false">IF(AND(CD14&gt;=OperationsStartDate,CD14&lt;=OperationsEndDate),TRUE(),FALSE())</f>
        <v>1</v>
      </c>
      <c r="CE17" s="19" t="b">
        <f aca="false">IF(AND(CE14&gt;=OperationsStartDate,CE14&lt;=OperationsEndDate),TRUE(),FALSE())</f>
        <v>1</v>
      </c>
      <c r="CF17" s="19" t="b">
        <f aca="false">IF(AND(CF14&gt;=OperationsStartDate,CF14&lt;=OperationsEndDate),TRUE(),FALSE())</f>
        <v>1</v>
      </c>
      <c r="CG17" s="19" t="b">
        <f aca="false">IF(AND(CG14&gt;=OperationsStartDate,CG14&lt;=OperationsEndDate),TRUE(),FALSE())</f>
        <v>1</v>
      </c>
      <c r="CH17" s="19" t="b">
        <f aca="false">IF(AND(CH14&gt;=OperationsStartDate,CH14&lt;=OperationsEndDate),TRUE(),FALSE())</f>
        <v>1</v>
      </c>
      <c r="CI17" s="19" t="b">
        <f aca="false">IF(AND(CI14&gt;=OperationsStartDate,CI14&lt;=OperationsEndDate),TRUE(),FALSE())</f>
        <v>1</v>
      </c>
      <c r="CJ17" s="19" t="b">
        <f aca="false">IF(AND(CJ14&gt;=OperationsStartDate,CJ14&lt;=OperationsEndDate),TRUE(),FALSE())</f>
        <v>1</v>
      </c>
      <c r="CK17" s="19" t="b">
        <f aca="false">IF(AND(CK14&gt;=OperationsStartDate,CK14&lt;=OperationsEndDate),TRUE(),FALSE())</f>
        <v>1</v>
      </c>
      <c r="CL17" s="19" t="b">
        <f aca="false">IF(AND(CL14&gt;=OperationsStartDate,CL14&lt;=OperationsEndDate),TRUE(),FALSE())</f>
        <v>1</v>
      </c>
      <c r="CM17" s="19" t="b">
        <f aca="false">IF(AND(CM14&gt;=OperationsStartDate,CM14&lt;=OperationsEndDate),TRUE(),FALSE())</f>
        <v>1</v>
      </c>
      <c r="CN17" s="19" t="b">
        <f aca="false">IF(AND(CN14&gt;=OperationsStartDate,CN14&lt;=OperationsEndDate),TRUE(),FALSE())</f>
        <v>1</v>
      </c>
      <c r="CO17" s="19" t="b">
        <f aca="false">IF(AND(CO14&gt;=OperationsStartDate,CO14&lt;=OperationsEndDate),TRUE(),FALSE())</f>
        <v>1</v>
      </c>
      <c r="CP17" s="19" t="b">
        <f aca="false">IF(AND(CP14&gt;=OperationsStartDate,CP14&lt;=OperationsEndDate),TRUE(),FALSE())</f>
        <v>1</v>
      </c>
      <c r="CQ17" s="19" t="b">
        <f aca="false">IF(AND(CQ14&gt;=OperationsStartDate,CQ14&lt;=OperationsEndDate),TRUE(),FALSE())</f>
        <v>1</v>
      </c>
      <c r="CR17" s="19" t="b">
        <f aca="false">IF(AND(CR14&gt;=OperationsStartDate,CR14&lt;=OperationsEndDate),TRUE(),FALSE())</f>
        <v>1</v>
      </c>
      <c r="CS17" s="19" t="b">
        <f aca="false">IF(AND(CS14&gt;=OperationsStartDate,CS14&lt;=OperationsEndDate),TRUE(),FALSE())</f>
        <v>1</v>
      </c>
      <c r="CT17" s="19" t="b">
        <f aca="false">IF(AND(CT14&gt;=OperationsStartDate,CT14&lt;=OperationsEndDate),TRUE(),FALSE())</f>
        <v>1</v>
      </c>
      <c r="CU17" s="19" t="b">
        <f aca="false">IF(AND(CU14&gt;=OperationsStartDate,CU14&lt;=OperationsEndDate),TRUE(),FALSE())</f>
        <v>1</v>
      </c>
      <c r="CV17" s="19" t="b">
        <f aca="false">IF(AND(CV14&gt;=OperationsStartDate,CV14&lt;=OperationsEndDate),TRUE(),FALSE())</f>
        <v>1</v>
      </c>
      <c r="CW17" s="19" t="b">
        <f aca="false">IF(AND(CW14&gt;=OperationsStartDate,CW14&lt;=OperationsEndDate),TRUE(),FALSE())</f>
        <v>1</v>
      </c>
      <c r="CX17" s="19" t="b">
        <f aca="false">IF(AND(CX14&gt;=OperationsStartDate,CX14&lt;=OperationsEndDate),TRUE(),FALSE())</f>
        <v>1</v>
      </c>
      <c r="CY17" s="19" t="b">
        <f aca="false">IF(AND(CY14&gt;=OperationsStartDate,CY14&lt;=OperationsEndDate),TRUE(),FALSE())</f>
        <v>1</v>
      </c>
      <c r="CZ17" s="19" t="b">
        <f aca="false">IF(AND(CZ14&gt;=OperationsStartDate,CZ14&lt;=OperationsEndDate),TRUE(),FALSE())</f>
        <v>1</v>
      </c>
      <c r="DA17" s="19" t="b">
        <f aca="false">IF(AND(DA14&gt;=OperationsStartDate,DA14&lt;=OperationsEndDate),TRUE(),FALSE())</f>
        <v>1</v>
      </c>
      <c r="DB17" s="19" t="b">
        <f aca="false">IF(AND(DB14&gt;=OperationsStartDate,DB14&lt;=OperationsEndDate),TRUE(),FALSE())</f>
        <v>1</v>
      </c>
      <c r="DC17" s="19" t="b">
        <f aca="false">IF(AND(DC14&gt;=OperationsStartDate,DC14&lt;=OperationsEndDate),TRUE(),FALSE())</f>
        <v>1</v>
      </c>
      <c r="DD17" s="19" t="b">
        <f aca="false">IF(AND(DD14&gt;=OperationsStartDate,DD14&lt;=OperationsEndDate),TRUE(),FALSE())</f>
        <v>1</v>
      </c>
      <c r="DE17" s="19" t="b">
        <f aca="false">IF(AND(DE14&gt;=OperationsStartDate,DE14&lt;=OperationsEndDate),TRUE(),FALSE())</f>
        <v>1</v>
      </c>
      <c r="DF17" s="19" t="b">
        <f aca="false">IF(AND(DF14&gt;=OperationsStartDate,DF14&lt;=OperationsEndDate),TRUE(),FALSE())</f>
        <v>1</v>
      </c>
      <c r="DG17" s="19" t="b">
        <f aca="false">IF(AND(DG14&gt;=OperationsStartDate,DG14&lt;=OperationsEndDate),TRUE(),FALSE())</f>
        <v>1</v>
      </c>
      <c r="DH17" s="19" t="b">
        <f aca="false">IF(AND(DH14&gt;=OperationsStartDate,DH14&lt;=OperationsEndDate),TRUE(),FALSE())</f>
        <v>1</v>
      </c>
      <c r="DI17" s="19" t="b">
        <f aca="false">IF(AND(DI14&gt;=OperationsStartDate,DI14&lt;=OperationsEndDate),TRUE(),FALSE())</f>
        <v>1</v>
      </c>
      <c r="DJ17" s="19" t="b">
        <f aca="false">IF(AND(DJ14&gt;=OperationsStartDate,DJ14&lt;=OperationsEndDate),TRUE(),FALSE())</f>
        <v>1</v>
      </c>
      <c r="DK17" s="19" t="b">
        <f aca="false">IF(AND(DK14&gt;=OperationsStartDate,DK14&lt;=OperationsEndDate),TRUE(),FALSE())</f>
        <v>1</v>
      </c>
      <c r="DL17" s="19" t="b">
        <f aca="false">IF(AND(DL14&gt;=OperationsStartDate,DL14&lt;=OperationsEndDate),TRUE(),FALSE())</f>
        <v>1</v>
      </c>
      <c r="DM17" s="19" t="b">
        <f aca="false">IF(AND(DM14&gt;=OperationsStartDate,DM14&lt;=OperationsEndDate),TRUE(),FALSE())</f>
        <v>1</v>
      </c>
      <c r="DN17" s="19" t="b">
        <f aca="false">IF(AND(DN14&gt;=OperationsStartDate,DN14&lt;=OperationsEndDate),TRUE(),FALSE())</f>
        <v>1</v>
      </c>
      <c r="DO17" s="19" t="b">
        <f aca="false">IF(AND(DO14&gt;=OperationsStartDate,DO14&lt;=OperationsEndDate),TRUE(),FALSE())</f>
        <v>1</v>
      </c>
      <c r="DP17" s="19" t="b">
        <f aca="false">IF(AND(DP14&gt;=OperationsStartDate,DP14&lt;=OperationsEndDate),TRUE(),FALSE())</f>
        <v>1</v>
      </c>
      <c r="DQ17" s="19" t="b">
        <f aca="false">IF(AND(DQ14&gt;=OperationsStartDate,DQ14&lt;=OperationsEndDate),TRUE(),FALSE())</f>
        <v>1</v>
      </c>
      <c r="DR17" s="19" t="b">
        <f aca="false">IF(AND(DR14&gt;=OperationsStartDate,DR14&lt;=OperationsEndDate),TRUE(),FALSE())</f>
        <v>1</v>
      </c>
      <c r="DS17" s="19" t="b">
        <f aca="false">IF(AND(DS14&gt;=OperationsStartDate,DS14&lt;=OperationsEndDate),TRUE(),FALSE())</f>
        <v>1</v>
      </c>
      <c r="DT17" s="19" t="b">
        <f aca="false">IF(AND(DT14&gt;=OperationsStartDate,DT14&lt;=OperationsEndDate),TRUE(),FALSE())</f>
        <v>1</v>
      </c>
      <c r="DU17" s="19" t="b">
        <f aca="false">IF(AND(DU14&gt;=OperationsStartDate,DU14&lt;=OperationsEndDate),TRUE(),FALSE())</f>
        <v>1</v>
      </c>
      <c r="DV17" s="19" t="b">
        <f aca="false">IF(AND(DV14&gt;=OperationsStartDate,DV14&lt;=OperationsEndDate),TRUE(),FALSE())</f>
        <v>1</v>
      </c>
      <c r="DW17" s="19" t="b">
        <f aca="false">IF(AND(DW14&gt;=OperationsStartDate,DW14&lt;=OperationsEndDate),TRUE(),FALSE())</f>
        <v>1</v>
      </c>
      <c r="DX17" s="19" t="b">
        <f aca="false">IF(AND(DX14&gt;=OperationsStartDate,DX14&lt;=OperationsEndDate),TRUE(),FALSE())</f>
        <v>1</v>
      </c>
      <c r="DY17" s="19" t="b">
        <f aca="false">IF(AND(DY14&gt;=OperationsStartDate,DY14&lt;=OperationsEndDate),TRUE(),FALSE())</f>
        <v>1</v>
      </c>
      <c r="DZ17" s="19" t="b">
        <f aca="false">IF(AND(DZ14&gt;=OperationsStartDate,DZ14&lt;=OperationsEndDate),TRUE(),FALSE())</f>
        <v>1</v>
      </c>
      <c r="EA17" s="19" t="b">
        <f aca="false">IF(AND(EA14&gt;=OperationsStartDate,EA14&lt;=OperationsEndDate),TRUE(),FALSE())</f>
        <v>1</v>
      </c>
      <c r="EB17" s="19" t="b">
        <f aca="false">IF(AND(EB14&gt;=OperationsStartDate,EB14&lt;=OperationsEndDate),TRUE(),FALSE())</f>
        <v>0</v>
      </c>
      <c r="EC17" s="19" t="b">
        <f aca="false">IF(AND(EC14&gt;=OperationsStartDate,EC14&lt;=OperationsEndDate),TRUE(),FALSE())</f>
        <v>0</v>
      </c>
      <c r="ED17" s="19" t="b">
        <f aca="false">IF(AND(ED14&gt;=OperationsStartDate,ED14&lt;=OperationsEndDate),TRUE(),FALSE())</f>
        <v>0</v>
      </c>
      <c r="EE17" s="19" t="b">
        <f aca="false">IF(AND(EE14&gt;=OperationsStartDate,EE14&lt;=OperationsEndDate),TRUE(),FALSE())</f>
        <v>0</v>
      </c>
      <c r="EF17" s="19" t="b">
        <f aca="false">IF(AND(EF14&gt;=OperationsStartDate,EF14&lt;=OperationsEndDate),TRUE(),FALSE())</f>
        <v>0</v>
      </c>
      <c r="EG17" s="19" t="b">
        <f aca="false">IF(AND(EG14&gt;=OperationsStartDate,EG14&lt;=OperationsEndDate),TRUE(),FALSE())</f>
        <v>0</v>
      </c>
      <c r="EH17" s="19" t="b">
        <f aca="false">IF(AND(EH14&gt;=OperationsStartDate,EH14&lt;=OperationsEndDate),TRUE(),FALSE())</f>
        <v>0</v>
      </c>
      <c r="EI17" s="19" t="b">
        <f aca="false">IF(AND(EI14&gt;=OperationsStartDate,EI14&lt;=OperationsEndDate),TRUE(),FALSE())</f>
        <v>0</v>
      </c>
      <c r="EJ17" s="19" t="b">
        <f aca="false">IF(AND(EJ14&gt;=OperationsStartDate,EJ14&lt;=OperationsEndDate),TRUE(),FALSE())</f>
        <v>0</v>
      </c>
      <c r="EK17" s="19" t="b">
        <f aca="false">IF(AND(EK14&gt;=OperationsStartDate,EK14&lt;=OperationsEndDate),TRUE(),FALSE())</f>
        <v>0</v>
      </c>
      <c r="EL17" s="19" t="b">
        <f aca="false">IF(AND(EL14&gt;=OperationsStartDate,EL14&lt;=OperationsEndDate),TRUE(),FALSE())</f>
        <v>0</v>
      </c>
      <c r="EM17" s="19" t="b">
        <f aca="false">IF(AND(EM14&gt;=OperationsStartDate,EM14&lt;=OperationsEndDate),TRUE(),FALSE())</f>
        <v>0</v>
      </c>
      <c r="EN17" s="19" t="b">
        <f aca="false">IF(AND(EN14&gt;=OperationsStartDate,EN14&lt;=OperationsEndDate),TRUE(),FALSE())</f>
        <v>0</v>
      </c>
      <c r="EO17" s="19" t="b">
        <f aca="false">IF(AND(EO14&gt;=OperationsStartDate,EO14&lt;=OperationsEndDate),TRUE(),FALSE())</f>
        <v>0</v>
      </c>
      <c r="EP17" s="19" t="b">
        <f aca="false">IF(AND(EP14&gt;=OperationsStartDate,EP14&lt;=OperationsEndDate),TRUE(),FALSE())</f>
        <v>0</v>
      </c>
      <c r="EQ17" s="19" t="b">
        <f aca="false">IF(AND(EQ14&gt;=OperationsStartDate,EQ14&lt;=OperationsEndDate),TRUE(),FALSE())</f>
        <v>0</v>
      </c>
      <c r="ER17" s="19" t="b">
        <f aca="false">IF(AND(ER14&gt;=OperationsStartDate,ER14&lt;=OperationsEndDate),TRUE(),FALSE())</f>
        <v>0</v>
      </c>
      <c r="ES17" s="19" t="b">
        <f aca="false">IF(AND(ES14&gt;=OperationsStartDate,ES14&lt;=OperationsEndDate),TRUE(),FALSE())</f>
        <v>0</v>
      </c>
      <c r="ET17" s="19" t="b">
        <f aca="false">IF(AND(ET14&gt;=OperationsStartDate,ET14&lt;=OperationsEndDate),TRUE(),FALSE())</f>
        <v>0</v>
      </c>
      <c r="EU17" s="19" t="b">
        <f aca="false">IF(AND(EU14&gt;=OperationsStartDate,EU14&lt;=OperationsEndDate),TRUE(),FALSE())</f>
        <v>0</v>
      </c>
      <c r="EV17" s="19" t="b">
        <f aca="false">IF(AND(EV14&gt;=OperationsStartDate,EV14&lt;=OperationsEndDate),TRUE(),FALSE())</f>
        <v>0</v>
      </c>
      <c r="EW17" s="19" t="b">
        <f aca="false">IF(AND(EW14&gt;=OperationsStartDate,EW14&lt;=OperationsEndDate),TRUE(),FALSE())</f>
        <v>0</v>
      </c>
      <c r="EX17" s="19" t="b">
        <f aca="false">IF(AND(EX14&gt;=OperationsStartDate,EX14&lt;=OperationsEndDate),TRUE(),FALSE())</f>
        <v>0</v>
      </c>
      <c r="EY17" s="19" t="b">
        <f aca="false">IF(AND(EY14&gt;=OperationsStartDate,EY14&lt;=OperationsEndDate),TRUE(),FALSE())</f>
        <v>0</v>
      </c>
      <c r="EZ17" s="19" t="b">
        <f aca="false">IF(AND(EZ14&gt;=OperationsStartDate,EZ14&lt;=OperationsEndDate),TRUE(),FALSE())</f>
        <v>0</v>
      </c>
      <c r="FA17" s="19" t="b">
        <f aca="false">IF(AND(FA14&gt;=OperationsStartDate,FA14&lt;=OperationsEndDate),TRUE(),FALSE())</f>
        <v>0</v>
      </c>
      <c r="FB17" s="19" t="b">
        <f aca="false">IF(AND(FB14&gt;=OperationsStartDate,FB14&lt;=OperationsEndDate),TRUE(),FALSE())</f>
        <v>0</v>
      </c>
      <c r="FC17" s="19" t="b">
        <f aca="false">IF(AND(FC14&gt;=OperationsStartDate,FC14&lt;=OperationsEndDate),TRUE(),FALSE())</f>
        <v>0</v>
      </c>
      <c r="FD17" s="19" t="b">
        <f aca="false">IF(AND(FD14&gt;=OperationsStartDate,FD14&lt;=OperationsEndDate),TRUE(),FALSE())</f>
        <v>0</v>
      </c>
      <c r="FE17" s="19" t="b">
        <f aca="false">IF(AND(FE14&gt;=OperationsStartDate,FE14&lt;=OperationsEndDate),TRUE(),FALSE())</f>
        <v>0</v>
      </c>
      <c r="FF17" s="19" t="b">
        <f aca="false">IF(AND(FF14&gt;=OperationsStartDate,FF14&lt;=OperationsEndDate),TRUE(),FALSE())</f>
        <v>0</v>
      </c>
      <c r="FG17" s="19" t="b">
        <f aca="false">IF(AND(FG14&gt;=OperationsStartDate,FG14&lt;=OperationsEndDate),TRUE(),FALSE())</f>
        <v>0</v>
      </c>
      <c r="FH17" s="19" t="b">
        <f aca="false">IF(AND(FH14&gt;=OperationsStartDate,FH14&lt;=OperationsEndDate),TRUE(),FALSE())</f>
        <v>0</v>
      </c>
      <c r="FI17" s="19" t="b">
        <f aca="false">IF(AND(FI14&gt;=OperationsStartDate,FI14&lt;=OperationsEndDate),TRUE(),FALSE())</f>
        <v>0</v>
      </c>
      <c r="FJ17" s="19" t="b">
        <f aca="false">IF(AND(FJ14&gt;=OperationsStartDate,FJ14&lt;=OperationsEndDate),TRUE(),FALSE())</f>
        <v>0</v>
      </c>
      <c r="FK17" s="19" t="b">
        <f aca="false">IF(AND(FK14&gt;=OperationsStartDate,FK14&lt;=OperationsEndDate),TRUE(),FALSE())</f>
        <v>0</v>
      </c>
    </row>
    <row r="19" customFormat="false" ht="15" hidden="false" customHeight="true" outlineLevel="0" collapsed="false">
      <c r="D19" s="3" t="s">
        <v>67</v>
      </c>
    </row>
    <row r="21" customFormat="false" ht="15" hidden="false" customHeight="true" outlineLevel="0" collapsed="false">
      <c r="D21" s="20" t="s">
        <v>68</v>
      </c>
    </row>
    <row r="22" customFormat="false" ht="15" hidden="false" customHeight="true" outlineLevel="0" collapsed="false">
      <c r="D22" s="21" t="s">
        <v>69</v>
      </c>
      <c r="E22" s="7" t="s">
        <v>70</v>
      </c>
      <c r="F22" s="22" t="n">
        <f aca="false">SUM(H22:FK22)</f>
        <v>525600</v>
      </c>
      <c r="H22" s="23" t="n">
        <f aca="false">IF(H17=TRUE(),Capacity_MW*CapacityFactor*HoursPerYear*(PeriodLengthMonths/MonthsPerYear),0)</f>
        <v>0</v>
      </c>
      <c r="I22" s="23" t="n">
        <f aca="false">IF(I17=TRUE(),Capacity_MW*CapacityFactor*HoursPerYear*(PeriodLengthMonths/MonthsPerYear),0)</f>
        <v>0</v>
      </c>
      <c r="J22" s="23" t="n">
        <f aca="false">IF(J17=TRUE(),Capacity_MW*CapacityFactor*HoursPerYear*(PeriodLengthMonths/MonthsPerYear),0)</f>
        <v>0</v>
      </c>
      <c r="K22" s="23" t="n">
        <f aca="false">IF(K17=TRUE(),Capacity_MW*CapacityFactor*HoursPerYear*(PeriodLengthMonths/MonthsPerYear),0)</f>
        <v>0</v>
      </c>
      <c r="L22" s="23" t="n">
        <f aca="false">IF(L17=TRUE(),Capacity_MW*CapacityFactor*HoursPerYear*(PeriodLengthMonths/MonthsPerYear),0)</f>
        <v>4380</v>
      </c>
      <c r="M22" s="23" t="n">
        <f aca="false">IF(M17=TRUE(),Capacity_MW*CapacityFactor*HoursPerYear*(PeriodLengthMonths/MonthsPerYear),0)</f>
        <v>4380</v>
      </c>
      <c r="N22" s="23" t="n">
        <f aca="false">IF(N17=TRUE(),Capacity_MW*CapacityFactor*HoursPerYear*(PeriodLengthMonths/MonthsPerYear),0)</f>
        <v>4380</v>
      </c>
      <c r="O22" s="23" t="n">
        <f aca="false">IF(O17=TRUE(),Capacity_MW*CapacityFactor*HoursPerYear*(PeriodLengthMonths/MonthsPerYear),0)</f>
        <v>4380</v>
      </c>
      <c r="P22" s="23" t="n">
        <f aca="false">IF(P17=TRUE(),Capacity_MW*CapacityFactor*HoursPerYear*(PeriodLengthMonths/MonthsPerYear),0)</f>
        <v>4380</v>
      </c>
      <c r="Q22" s="23" t="n">
        <f aca="false">IF(Q17=TRUE(),Capacity_MW*CapacityFactor*HoursPerYear*(PeriodLengthMonths/MonthsPerYear),0)</f>
        <v>4380</v>
      </c>
      <c r="R22" s="23" t="n">
        <f aca="false">IF(R17=TRUE(),Capacity_MW*CapacityFactor*HoursPerYear*(PeriodLengthMonths/MonthsPerYear),0)</f>
        <v>4380</v>
      </c>
      <c r="S22" s="23" t="n">
        <f aca="false">IF(S17=TRUE(),Capacity_MW*CapacityFactor*HoursPerYear*(PeriodLengthMonths/MonthsPerYear),0)</f>
        <v>4380</v>
      </c>
      <c r="T22" s="23" t="n">
        <f aca="false">IF(T17=TRUE(),Capacity_MW*CapacityFactor*HoursPerYear*(PeriodLengthMonths/MonthsPerYear),0)</f>
        <v>4380</v>
      </c>
      <c r="U22" s="23" t="n">
        <f aca="false">IF(U17=TRUE(),Capacity_MW*CapacityFactor*HoursPerYear*(PeriodLengthMonths/MonthsPerYear),0)</f>
        <v>4380</v>
      </c>
      <c r="V22" s="23" t="n">
        <f aca="false">IF(V17=TRUE(),Capacity_MW*CapacityFactor*HoursPerYear*(PeriodLengthMonths/MonthsPerYear),0)</f>
        <v>4380</v>
      </c>
      <c r="W22" s="23" t="n">
        <f aca="false">IF(W17=TRUE(),Capacity_MW*CapacityFactor*HoursPerYear*(PeriodLengthMonths/MonthsPerYear),0)</f>
        <v>4380</v>
      </c>
      <c r="X22" s="23" t="n">
        <f aca="false">IF(X17=TRUE(),Capacity_MW*CapacityFactor*HoursPerYear*(PeriodLengthMonths/MonthsPerYear),0)</f>
        <v>4380</v>
      </c>
      <c r="Y22" s="23" t="n">
        <f aca="false">IF(Y17=TRUE(),Capacity_MW*CapacityFactor*HoursPerYear*(PeriodLengthMonths/MonthsPerYear),0)</f>
        <v>4380</v>
      </c>
      <c r="Z22" s="23" t="n">
        <f aca="false">IF(Z17=TRUE(),Capacity_MW*CapacityFactor*HoursPerYear*(PeriodLengthMonths/MonthsPerYear),0)</f>
        <v>4380</v>
      </c>
      <c r="AA22" s="23" t="n">
        <f aca="false">IF(AA17=TRUE(),Capacity_MW*CapacityFactor*HoursPerYear*(PeriodLengthMonths/MonthsPerYear),0)</f>
        <v>4380</v>
      </c>
      <c r="AB22" s="23" t="n">
        <f aca="false">IF(AB17=TRUE(),Capacity_MW*CapacityFactor*HoursPerYear*(PeriodLengthMonths/MonthsPerYear),0)</f>
        <v>4380</v>
      </c>
      <c r="AC22" s="23" t="n">
        <f aca="false">IF(AC17=TRUE(),Capacity_MW*CapacityFactor*HoursPerYear*(PeriodLengthMonths/MonthsPerYear),0)</f>
        <v>4380</v>
      </c>
      <c r="AD22" s="23" t="n">
        <f aca="false">IF(AD17=TRUE(),Capacity_MW*CapacityFactor*HoursPerYear*(PeriodLengthMonths/MonthsPerYear),0)</f>
        <v>4380</v>
      </c>
      <c r="AE22" s="23" t="n">
        <f aca="false">IF(AE17=TRUE(),Capacity_MW*CapacityFactor*HoursPerYear*(PeriodLengthMonths/MonthsPerYear),0)</f>
        <v>4380</v>
      </c>
      <c r="AF22" s="23" t="n">
        <f aca="false">IF(AF17=TRUE(),Capacity_MW*CapacityFactor*HoursPerYear*(PeriodLengthMonths/MonthsPerYear),0)</f>
        <v>4380</v>
      </c>
      <c r="AG22" s="23" t="n">
        <f aca="false">IF(AG17=TRUE(),Capacity_MW*CapacityFactor*HoursPerYear*(PeriodLengthMonths/MonthsPerYear),0)</f>
        <v>4380</v>
      </c>
      <c r="AH22" s="23" t="n">
        <f aca="false">IF(AH17=TRUE(),Capacity_MW*CapacityFactor*HoursPerYear*(PeriodLengthMonths/MonthsPerYear),0)</f>
        <v>4380</v>
      </c>
      <c r="AI22" s="23" t="n">
        <f aca="false">IF(AI17=TRUE(),Capacity_MW*CapacityFactor*HoursPerYear*(PeriodLengthMonths/MonthsPerYear),0)</f>
        <v>4380</v>
      </c>
      <c r="AJ22" s="23" t="n">
        <f aca="false">IF(AJ17=TRUE(),Capacity_MW*CapacityFactor*HoursPerYear*(PeriodLengthMonths/MonthsPerYear),0)</f>
        <v>4380</v>
      </c>
      <c r="AK22" s="23" t="n">
        <f aca="false">IF(AK17=TRUE(),Capacity_MW*CapacityFactor*HoursPerYear*(PeriodLengthMonths/MonthsPerYear),0)</f>
        <v>4380</v>
      </c>
      <c r="AL22" s="23" t="n">
        <f aca="false">IF(AL17=TRUE(),Capacity_MW*CapacityFactor*HoursPerYear*(PeriodLengthMonths/MonthsPerYear),0)</f>
        <v>4380</v>
      </c>
      <c r="AM22" s="23" t="n">
        <f aca="false">IF(AM17=TRUE(),Capacity_MW*CapacityFactor*HoursPerYear*(PeriodLengthMonths/MonthsPerYear),0)</f>
        <v>4380</v>
      </c>
      <c r="AN22" s="23" t="n">
        <f aca="false">IF(AN17=TRUE(),Capacity_MW*CapacityFactor*HoursPerYear*(PeriodLengthMonths/MonthsPerYear),0)</f>
        <v>4380</v>
      </c>
      <c r="AO22" s="23" t="n">
        <f aca="false">IF(AO17=TRUE(),Capacity_MW*CapacityFactor*HoursPerYear*(PeriodLengthMonths/MonthsPerYear),0)</f>
        <v>4380</v>
      </c>
      <c r="AP22" s="23" t="n">
        <f aca="false">IF(AP17=TRUE(),Capacity_MW*CapacityFactor*HoursPerYear*(PeriodLengthMonths/MonthsPerYear),0)</f>
        <v>4380</v>
      </c>
      <c r="AQ22" s="23" t="n">
        <f aca="false">IF(AQ17=TRUE(),Capacity_MW*CapacityFactor*HoursPerYear*(PeriodLengthMonths/MonthsPerYear),0)</f>
        <v>4380</v>
      </c>
      <c r="AR22" s="23" t="n">
        <f aca="false">IF(AR17=TRUE(),Capacity_MW*CapacityFactor*HoursPerYear*(PeriodLengthMonths/MonthsPerYear),0)</f>
        <v>4380</v>
      </c>
      <c r="AS22" s="23" t="n">
        <f aca="false">IF(AS17=TRUE(),Capacity_MW*CapacityFactor*HoursPerYear*(PeriodLengthMonths/MonthsPerYear),0)</f>
        <v>4380</v>
      </c>
      <c r="AT22" s="23" t="n">
        <f aca="false">IF(AT17=TRUE(),Capacity_MW*CapacityFactor*HoursPerYear*(PeriodLengthMonths/MonthsPerYear),0)</f>
        <v>4380</v>
      </c>
      <c r="AU22" s="23" t="n">
        <f aca="false">IF(AU17=TRUE(),Capacity_MW*CapacityFactor*HoursPerYear*(PeriodLengthMonths/MonthsPerYear),0)</f>
        <v>4380</v>
      </c>
      <c r="AV22" s="23" t="n">
        <f aca="false">IF(AV17=TRUE(),Capacity_MW*CapacityFactor*HoursPerYear*(PeriodLengthMonths/MonthsPerYear),0)</f>
        <v>4380</v>
      </c>
      <c r="AW22" s="23" t="n">
        <f aca="false">IF(AW17=TRUE(),Capacity_MW*CapacityFactor*HoursPerYear*(PeriodLengthMonths/MonthsPerYear),0)</f>
        <v>4380</v>
      </c>
      <c r="AX22" s="23" t="n">
        <f aca="false">IF(AX17=TRUE(),Capacity_MW*CapacityFactor*HoursPerYear*(PeriodLengthMonths/MonthsPerYear),0)</f>
        <v>4380</v>
      </c>
      <c r="AY22" s="23" t="n">
        <f aca="false">IF(AY17=TRUE(),Capacity_MW*CapacityFactor*HoursPerYear*(PeriodLengthMonths/MonthsPerYear),0)</f>
        <v>4380</v>
      </c>
      <c r="AZ22" s="23" t="n">
        <f aca="false">IF(AZ17=TRUE(),Capacity_MW*CapacityFactor*HoursPerYear*(PeriodLengthMonths/MonthsPerYear),0)</f>
        <v>4380</v>
      </c>
      <c r="BA22" s="23" t="n">
        <f aca="false">IF(BA17=TRUE(),Capacity_MW*CapacityFactor*HoursPerYear*(PeriodLengthMonths/MonthsPerYear),0)</f>
        <v>4380</v>
      </c>
      <c r="BB22" s="23" t="n">
        <f aca="false">IF(BB17=TRUE(),Capacity_MW*CapacityFactor*HoursPerYear*(PeriodLengthMonths/MonthsPerYear),0)</f>
        <v>4380</v>
      </c>
      <c r="BC22" s="23" t="n">
        <f aca="false">IF(BC17=TRUE(),Capacity_MW*CapacityFactor*HoursPerYear*(PeriodLengthMonths/MonthsPerYear),0)</f>
        <v>4380</v>
      </c>
      <c r="BD22" s="23" t="n">
        <f aca="false">IF(BD17=TRUE(),Capacity_MW*CapacityFactor*HoursPerYear*(PeriodLengthMonths/MonthsPerYear),0)</f>
        <v>4380</v>
      </c>
      <c r="BE22" s="23" t="n">
        <f aca="false">IF(BE17=TRUE(),Capacity_MW*CapacityFactor*HoursPerYear*(PeriodLengthMonths/MonthsPerYear),0)</f>
        <v>4380</v>
      </c>
      <c r="BF22" s="23" t="n">
        <f aca="false">IF(BF17=TRUE(),Capacity_MW*CapacityFactor*HoursPerYear*(PeriodLengthMonths/MonthsPerYear),0)</f>
        <v>4380</v>
      </c>
      <c r="BG22" s="23" t="n">
        <f aca="false">IF(BG17=TRUE(),Capacity_MW*CapacityFactor*HoursPerYear*(PeriodLengthMonths/MonthsPerYear),0)</f>
        <v>4380</v>
      </c>
      <c r="BH22" s="23" t="n">
        <f aca="false">IF(BH17=TRUE(),Capacity_MW*CapacityFactor*HoursPerYear*(PeriodLengthMonths/MonthsPerYear),0)</f>
        <v>4380</v>
      </c>
      <c r="BI22" s="23" t="n">
        <f aca="false">IF(BI17=TRUE(),Capacity_MW*CapacityFactor*HoursPerYear*(PeriodLengthMonths/MonthsPerYear),0)</f>
        <v>4380</v>
      </c>
      <c r="BJ22" s="23" t="n">
        <f aca="false">IF(BJ17=TRUE(),Capacity_MW*CapacityFactor*HoursPerYear*(PeriodLengthMonths/MonthsPerYear),0)</f>
        <v>4380</v>
      </c>
      <c r="BK22" s="23" t="n">
        <f aca="false">IF(BK17=TRUE(),Capacity_MW*CapacityFactor*HoursPerYear*(PeriodLengthMonths/MonthsPerYear),0)</f>
        <v>4380</v>
      </c>
      <c r="BL22" s="23" t="n">
        <f aca="false">IF(BL17=TRUE(),Capacity_MW*CapacityFactor*HoursPerYear*(PeriodLengthMonths/MonthsPerYear),0)</f>
        <v>4380</v>
      </c>
      <c r="BM22" s="23" t="n">
        <f aca="false">IF(BM17=TRUE(),Capacity_MW*CapacityFactor*HoursPerYear*(PeriodLengthMonths/MonthsPerYear),0)</f>
        <v>4380</v>
      </c>
      <c r="BN22" s="23" t="n">
        <f aca="false">IF(BN17=TRUE(),Capacity_MW*CapacityFactor*HoursPerYear*(PeriodLengthMonths/MonthsPerYear),0)</f>
        <v>4380</v>
      </c>
      <c r="BO22" s="23" t="n">
        <f aca="false">IF(BO17=TRUE(),Capacity_MW*CapacityFactor*HoursPerYear*(PeriodLengthMonths/MonthsPerYear),0)</f>
        <v>4380</v>
      </c>
      <c r="BP22" s="23" t="n">
        <f aca="false">IF(BP17=TRUE(),Capacity_MW*CapacityFactor*HoursPerYear*(PeriodLengthMonths/MonthsPerYear),0)</f>
        <v>4380</v>
      </c>
      <c r="BQ22" s="23" t="n">
        <f aca="false">IF(BQ17=TRUE(),Capacity_MW*CapacityFactor*HoursPerYear*(PeriodLengthMonths/MonthsPerYear),0)</f>
        <v>4380</v>
      </c>
      <c r="BR22" s="23" t="n">
        <f aca="false">IF(BR17=TRUE(),Capacity_MW*CapacityFactor*HoursPerYear*(PeriodLengthMonths/MonthsPerYear),0)</f>
        <v>4380</v>
      </c>
      <c r="BS22" s="23" t="n">
        <f aca="false">IF(BS17=TRUE(),Capacity_MW*CapacityFactor*HoursPerYear*(PeriodLengthMonths/MonthsPerYear),0)</f>
        <v>4380</v>
      </c>
      <c r="BT22" s="23" t="n">
        <f aca="false">IF(BT17=TRUE(),Capacity_MW*CapacityFactor*HoursPerYear*(PeriodLengthMonths/MonthsPerYear),0)</f>
        <v>4380</v>
      </c>
      <c r="BU22" s="23" t="n">
        <f aca="false">IF(BU17=TRUE(),Capacity_MW*CapacityFactor*HoursPerYear*(PeriodLengthMonths/MonthsPerYear),0)</f>
        <v>4380</v>
      </c>
      <c r="BV22" s="23" t="n">
        <f aca="false">IF(BV17=TRUE(),Capacity_MW*CapacityFactor*HoursPerYear*(PeriodLengthMonths/MonthsPerYear),0)</f>
        <v>4380</v>
      </c>
      <c r="BW22" s="23" t="n">
        <f aca="false">IF(BW17=TRUE(),Capacity_MW*CapacityFactor*HoursPerYear*(PeriodLengthMonths/MonthsPerYear),0)</f>
        <v>4380</v>
      </c>
      <c r="BX22" s="23" t="n">
        <f aca="false">IF(BX17=TRUE(),Capacity_MW*CapacityFactor*HoursPerYear*(PeriodLengthMonths/MonthsPerYear),0)</f>
        <v>4380</v>
      </c>
      <c r="BY22" s="23" t="n">
        <f aca="false">IF(BY17=TRUE(),Capacity_MW*CapacityFactor*HoursPerYear*(PeriodLengthMonths/MonthsPerYear),0)</f>
        <v>4380</v>
      </c>
      <c r="BZ22" s="23" t="n">
        <f aca="false">IF(BZ17=TRUE(),Capacity_MW*CapacityFactor*HoursPerYear*(PeriodLengthMonths/MonthsPerYear),0)</f>
        <v>4380</v>
      </c>
      <c r="CA22" s="23" t="n">
        <f aca="false">IF(CA17=TRUE(),Capacity_MW*CapacityFactor*HoursPerYear*(PeriodLengthMonths/MonthsPerYear),0)</f>
        <v>4380</v>
      </c>
      <c r="CB22" s="23" t="n">
        <f aca="false">IF(CB17=TRUE(),Capacity_MW*CapacityFactor*HoursPerYear*(PeriodLengthMonths/MonthsPerYear),0)</f>
        <v>4380</v>
      </c>
      <c r="CC22" s="23" t="n">
        <f aca="false">IF(CC17=TRUE(),Capacity_MW*CapacityFactor*HoursPerYear*(PeriodLengthMonths/MonthsPerYear),0)</f>
        <v>4380</v>
      </c>
      <c r="CD22" s="23" t="n">
        <f aca="false">IF(CD17=TRUE(),Capacity_MW*CapacityFactor*HoursPerYear*(PeriodLengthMonths/MonthsPerYear),0)</f>
        <v>4380</v>
      </c>
      <c r="CE22" s="23" t="n">
        <f aca="false">IF(CE17=TRUE(),Capacity_MW*CapacityFactor*HoursPerYear*(PeriodLengthMonths/MonthsPerYear),0)</f>
        <v>4380</v>
      </c>
      <c r="CF22" s="23" t="n">
        <f aca="false">IF(CF17=TRUE(),Capacity_MW*CapacityFactor*HoursPerYear*(PeriodLengthMonths/MonthsPerYear),0)</f>
        <v>4380</v>
      </c>
      <c r="CG22" s="23" t="n">
        <f aca="false">IF(CG17=TRUE(),Capacity_MW*CapacityFactor*HoursPerYear*(PeriodLengthMonths/MonthsPerYear),0)</f>
        <v>4380</v>
      </c>
      <c r="CH22" s="23" t="n">
        <f aca="false">IF(CH17=TRUE(),Capacity_MW*CapacityFactor*HoursPerYear*(PeriodLengthMonths/MonthsPerYear),0)</f>
        <v>4380</v>
      </c>
      <c r="CI22" s="23" t="n">
        <f aca="false">IF(CI17=TRUE(),Capacity_MW*CapacityFactor*HoursPerYear*(PeriodLengthMonths/MonthsPerYear),0)</f>
        <v>4380</v>
      </c>
      <c r="CJ22" s="23" t="n">
        <f aca="false">IF(CJ17=TRUE(),Capacity_MW*CapacityFactor*HoursPerYear*(PeriodLengthMonths/MonthsPerYear),0)</f>
        <v>4380</v>
      </c>
      <c r="CK22" s="23" t="n">
        <f aca="false">IF(CK17=TRUE(),Capacity_MW*CapacityFactor*HoursPerYear*(PeriodLengthMonths/MonthsPerYear),0)</f>
        <v>4380</v>
      </c>
      <c r="CL22" s="23" t="n">
        <f aca="false">IF(CL17=TRUE(),Capacity_MW*CapacityFactor*HoursPerYear*(PeriodLengthMonths/MonthsPerYear),0)</f>
        <v>4380</v>
      </c>
      <c r="CM22" s="23" t="n">
        <f aca="false">IF(CM17=TRUE(),Capacity_MW*CapacityFactor*HoursPerYear*(PeriodLengthMonths/MonthsPerYear),0)</f>
        <v>4380</v>
      </c>
      <c r="CN22" s="23" t="n">
        <f aca="false">IF(CN17=TRUE(),Capacity_MW*CapacityFactor*HoursPerYear*(PeriodLengthMonths/MonthsPerYear),0)</f>
        <v>4380</v>
      </c>
      <c r="CO22" s="23" t="n">
        <f aca="false">IF(CO17=TRUE(),Capacity_MW*CapacityFactor*HoursPerYear*(PeriodLengthMonths/MonthsPerYear),0)</f>
        <v>4380</v>
      </c>
      <c r="CP22" s="23" t="n">
        <f aca="false">IF(CP17=TRUE(),Capacity_MW*CapacityFactor*HoursPerYear*(PeriodLengthMonths/MonthsPerYear),0)</f>
        <v>4380</v>
      </c>
      <c r="CQ22" s="23" t="n">
        <f aca="false">IF(CQ17=TRUE(),Capacity_MW*CapacityFactor*HoursPerYear*(PeriodLengthMonths/MonthsPerYear),0)</f>
        <v>4380</v>
      </c>
      <c r="CR22" s="23" t="n">
        <f aca="false">IF(CR17=TRUE(),Capacity_MW*CapacityFactor*HoursPerYear*(PeriodLengthMonths/MonthsPerYear),0)</f>
        <v>4380</v>
      </c>
      <c r="CS22" s="23" t="n">
        <f aca="false">IF(CS17=TRUE(),Capacity_MW*CapacityFactor*HoursPerYear*(PeriodLengthMonths/MonthsPerYear),0)</f>
        <v>4380</v>
      </c>
      <c r="CT22" s="23" t="n">
        <f aca="false">IF(CT17=TRUE(),Capacity_MW*CapacityFactor*HoursPerYear*(PeriodLengthMonths/MonthsPerYear),0)</f>
        <v>4380</v>
      </c>
      <c r="CU22" s="23" t="n">
        <f aca="false">IF(CU17=TRUE(),Capacity_MW*CapacityFactor*HoursPerYear*(PeriodLengthMonths/MonthsPerYear),0)</f>
        <v>4380</v>
      </c>
      <c r="CV22" s="23" t="n">
        <f aca="false">IF(CV17=TRUE(),Capacity_MW*CapacityFactor*HoursPerYear*(PeriodLengthMonths/MonthsPerYear),0)</f>
        <v>4380</v>
      </c>
      <c r="CW22" s="23" t="n">
        <f aca="false">IF(CW17=TRUE(),Capacity_MW*CapacityFactor*HoursPerYear*(PeriodLengthMonths/MonthsPerYear),0)</f>
        <v>4380</v>
      </c>
      <c r="CX22" s="23" t="n">
        <f aca="false">IF(CX17=TRUE(),Capacity_MW*CapacityFactor*HoursPerYear*(PeriodLengthMonths/MonthsPerYear),0)</f>
        <v>4380</v>
      </c>
      <c r="CY22" s="23" t="n">
        <f aca="false">IF(CY17=TRUE(),Capacity_MW*CapacityFactor*HoursPerYear*(PeriodLengthMonths/MonthsPerYear),0)</f>
        <v>4380</v>
      </c>
      <c r="CZ22" s="23" t="n">
        <f aca="false">IF(CZ17=TRUE(),Capacity_MW*CapacityFactor*HoursPerYear*(PeriodLengthMonths/MonthsPerYear),0)</f>
        <v>4380</v>
      </c>
      <c r="DA22" s="23" t="n">
        <f aca="false">IF(DA17=TRUE(),Capacity_MW*CapacityFactor*HoursPerYear*(PeriodLengthMonths/MonthsPerYear),0)</f>
        <v>4380</v>
      </c>
      <c r="DB22" s="23" t="n">
        <f aca="false">IF(DB17=TRUE(),Capacity_MW*CapacityFactor*HoursPerYear*(PeriodLengthMonths/MonthsPerYear),0)</f>
        <v>4380</v>
      </c>
      <c r="DC22" s="23" t="n">
        <f aca="false">IF(DC17=TRUE(),Capacity_MW*CapacityFactor*HoursPerYear*(PeriodLengthMonths/MonthsPerYear),0)</f>
        <v>4380</v>
      </c>
      <c r="DD22" s="23" t="n">
        <f aca="false">IF(DD17=TRUE(),Capacity_MW*CapacityFactor*HoursPerYear*(PeriodLengthMonths/MonthsPerYear),0)</f>
        <v>4380</v>
      </c>
      <c r="DE22" s="23" t="n">
        <f aca="false">IF(DE17=TRUE(),Capacity_MW*CapacityFactor*HoursPerYear*(PeriodLengthMonths/MonthsPerYear),0)</f>
        <v>4380</v>
      </c>
      <c r="DF22" s="23" t="n">
        <f aca="false">IF(DF17=TRUE(),Capacity_MW*CapacityFactor*HoursPerYear*(PeriodLengthMonths/MonthsPerYear),0)</f>
        <v>4380</v>
      </c>
      <c r="DG22" s="23" t="n">
        <f aca="false">IF(DG17=TRUE(),Capacity_MW*CapacityFactor*HoursPerYear*(PeriodLengthMonths/MonthsPerYear),0)</f>
        <v>4380</v>
      </c>
      <c r="DH22" s="23" t="n">
        <f aca="false">IF(DH17=TRUE(),Capacity_MW*CapacityFactor*HoursPerYear*(PeriodLengthMonths/MonthsPerYear),0)</f>
        <v>4380</v>
      </c>
      <c r="DI22" s="23" t="n">
        <f aca="false">IF(DI17=TRUE(),Capacity_MW*CapacityFactor*HoursPerYear*(PeriodLengthMonths/MonthsPerYear),0)</f>
        <v>4380</v>
      </c>
      <c r="DJ22" s="23" t="n">
        <f aca="false">IF(DJ17=TRUE(),Capacity_MW*CapacityFactor*HoursPerYear*(PeriodLengthMonths/MonthsPerYear),0)</f>
        <v>4380</v>
      </c>
      <c r="DK22" s="23" t="n">
        <f aca="false">IF(DK17=TRUE(),Capacity_MW*CapacityFactor*HoursPerYear*(PeriodLengthMonths/MonthsPerYear),0)</f>
        <v>4380</v>
      </c>
      <c r="DL22" s="23" t="n">
        <f aca="false">IF(DL17=TRUE(),Capacity_MW*CapacityFactor*HoursPerYear*(PeriodLengthMonths/MonthsPerYear),0)</f>
        <v>4380</v>
      </c>
      <c r="DM22" s="23" t="n">
        <f aca="false">IF(DM17=TRUE(),Capacity_MW*CapacityFactor*HoursPerYear*(PeriodLengthMonths/MonthsPerYear),0)</f>
        <v>4380</v>
      </c>
      <c r="DN22" s="23" t="n">
        <f aca="false">IF(DN17=TRUE(),Capacity_MW*CapacityFactor*HoursPerYear*(PeriodLengthMonths/MonthsPerYear),0)</f>
        <v>4380</v>
      </c>
      <c r="DO22" s="23" t="n">
        <f aca="false">IF(DO17=TRUE(),Capacity_MW*CapacityFactor*HoursPerYear*(PeriodLengthMonths/MonthsPerYear),0)</f>
        <v>4380</v>
      </c>
      <c r="DP22" s="23" t="n">
        <f aca="false">IF(DP17=TRUE(),Capacity_MW*CapacityFactor*HoursPerYear*(PeriodLengthMonths/MonthsPerYear),0)</f>
        <v>4380</v>
      </c>
      <c r="DQ22" s="23" t="n">
        <f aca="false">IF(DQ17=TRUE(),Capacity_MW*CapacityFactor*HoursPerYear*(PeriodLengthMonths/MonthsPerYear),0)</f>
        <v>4380</v>
      </c>
      <c r="DR22" s="23" t="n">
        <f aca="false">IF(DR17=TRUE(),Capacity_MW*CapacityFactor*HoursPerYear*(PeriodLengthMonths/MonthsPerYear),0)</f>
        <v>4380</v>
      </c>
      <c r="DS22" s="23" t="n">
        <f aca="false">IF(DS17=TRUE(),Capacity_MW*CapacityFactor*HoursPerYear*(PeriodLengthMonths/MonthsPerYear),0)</f>
        <v>4380</v>
      </c>
      <c r="DT22" s="23" t="n">
        <f aca="false">IF(DT17=TRUE(),Capacity_MW*CapacityFactor*HoursPerYear*(PeriodLengthMonths/MonthsPerYear),0)</f>
        <v>4380</v>
      </c>
      <c r="DU22" s="23" t="n">
        <f aca="false">IF(DU17=TRUE(),Capacity_MW*CapacityFactor*HoursPerYear*(PeriodLengthMonths/MonthsPerYear),0)</f>
        <v>4380</v>
      </c>
      <c r="DV22" s="23" t="n">
        <f aca="false">IF(DV17=TRUE(),Capacity_MW*CapacityFactor*HoursPerYear*(PeriodLengthMonths/MonthsPerYear),0)</f>
        <v>4380</v>
      </c>
      <c r="DW22" s="23" t="n">
        <f aca="false">IF(DW17=TRUE(),Capacity_MW*CapacityFactor*HoursPerYear*(PeriodLengthMonths/MonthsPerYear),0)</f>
        <v>4380</v>
      </c>
      <c r="DX22" s="23" t="n">
        <f aca="false">IF(DX17=TRUE(),Capacity_MW*CapacityFactor*HoursPerYear*(PeriodLengthMonths/MonthsPerYear),0)</f>
        <v>4380</v>
      </c>
      <c r="DY22" s="23" t="n">
        <f aca="false">IF(DY17=TRUE(),Capacity_MW*CapacityFactor*HoursPerYear*(PeriodLengthMonths/MonthsPerYear),0)</f>
        <v>4380</v>
      </c>
      <c r="DZ22" s="23" t="n">
        <f aca="false">IF(DZ17=TRUE(),Capacity_MW*CapacityFactor*HoursPerYear*(PeriodLengthMonths/MonthsPerYear),0)</f>
        <v>4380</v>
      </c>
      <c r="EA22" s="23" t="n">
        <f aca="false">IF(EA17=TRUE(),Capacity_MW*CapacityFactor*HoursPerYear*(PeriodLengthMonths/MonthsPerYear),0)</f>
        <v>4380</v>
      </c>
      <c r="EB22" s="23" t="n">
        <f aca="false">IF(EB17=TRUE(),Capacity_MW*CapacityFactor*HoursPerYear*(PeriodLengthMonths/MonthsPerYear),0)</f>
        <v>0</v>
      </c>
      <c r="EC22" s="23" t="n">
        <f aca="false">IF(EC17=TRUE(),Capacity_MW*CapacityFactor*HoursPerYear*(PeriodLengthMonths/MonthsPerYear),0)</f>
        <v>0</v>
      </c>
      <c r="ED22" s="23" t="n">
        <f aca="false">IF(ED17=TRUE(),Capacity_MW*CapacityFactor*HoursPerYear*(PeriodLengthMonths/MonthsPerYear),0)</f>
        <v>0</v>
      </c>
      <c r="EE22" s="23" t="n">
        <f aca="false">IF(EE17=TRUE(),Capacity_MW*CapacityFactor*HoursPerYear*(PeriodLengthMonths/MonthsPerYear),0)</f>
        <v>0</v>
      </c>
      <c r="EF22" s="23" t="n">
        <f aca="false">IF(EF17=TRUE(),Capacity_MW*CapacityFactor*HoursPerYear*(PeriodLengthMonths/MonthsPerYear),0)</f>
        <v>0</v>
      </c>
      <c r="EG22" s="23" t="n">
        <f aca="false">IF(EG17=TRUE(),Capacity_MW*CapacityFactor*HoursPerYear*(PeriodLengthMonths/MonthsPerYear),0)</f>
        <v>0</v>
      </c>
      <c r="EH22" s="23" t="n">
        <f aca="false">IF(EH17=TRUE(),Capacity_MW*CapacityFactor*HoursPerYear*(PeriodLengthMonths/MonthsPerYear),0)</f>
        <v>0</v>
      </c>
      <c r="EI22" s="23" t="n">
        <f aca="false">IF(EI17=TRUE(),Capacity_MW*CapacityFactor*HoursPerYear*(PeriodLengthMonths/MonthsPerYear),0)</f>
        <v>0</v>
      </c>
      <c r="EJ22" s="23" t="n">
        <f aca="false">IF(EJ17=TRUE(),Capacity_MW*CapacityFactor*HoursPerYear*(PeriodLengthMonths/MonthsPerYear),0)</f>
        <v>0</v>
      </c>
      <c r="EK22" s="23" t="n">
        <f aca="false">IF(EK17=TRUE(),Capacity_MW*CapacityFactor*HoursPerYear*(PeriodLengthMonths/MonthsPerYear),0)</f>
        <v>0</v>
      </c>
      <c r="EL22" s="23" t="n">
        <f aca="false">IF(EL17=TRUE(),Capacity_MW*CapacityFactor*HoursPerYear*(PeriodLengthMonths/MonthsPerYear),0)</f>
        <v>0</v>
      </c>
      <c r="EM22" s="23" t="n">
        <f aca="false">IF(EM17=TRUE(),Capacity_MW*CapacityFactor*HoursPerYear*(PeriodLengthMonths/MonthsPerYear),0)</f>
        <v>0</v>
      </c>
      <c r="EN22" s="23" t="n">
        <f aca="false">IF(EN17=TRUE(),Capacity_MW*CapacityFactor*HoursPerYear*(PeriodLengthMonths/MonthsPerYear),0)</f>
        <v>0</v>
      </c>
      <c r="EO22" s="23" t="n">
        <f aca="false">IF(EO17=TRUE(),Capacity_MW*CapacityFactor*HoursPerYear*(PeriodLengthMonths/MonthsPerYear),0)</f>
        <v>0</v>
      </c>
      <c r="EP22" s="23" t="n">
        <f aca="false">IF(EP17=TRUE(),Capacity_MW*CapacityFactor*HoursPerYear*(PeriodLengthMonths/MonthsPerYear),0)</f>
        <v>0</v>
      </c>
      <c r="EQ22" s="23" t="n">
        <f aca="false">IF(EQ17=TRUE(),Capacity_MW*CapacityFactor*HoursPerYear*(PeriodLengthMonths/MonthsPerYear),0)</f>
        <v>0</v>
      </c>
      <c r="ER22" s="23" t="n">
        <f aca="false">IF(ER17=TRUE(),Capacity_MW*CapacityFactor*HoursPerYear*(PeriodLengthMonths/MonthsPerYear),0)</f>
        <v>0</v>
      </c>
      <c r="ES22" s="23" t="n">
        <f aca="false">IF(ES17=TRUE(),Capacity_MW*CapacityFactor*HoursPerYear*(PeriodLengthMonths/MonthsPerYear),0)</f>
        <v>0</v>
      </c>
      <c r="ET22" s="23" t="n">
        <f aca="false">IF(ET17=TRUE(),Capacity_MW*CapacityFactor*HoursPerYear*(PeriodLengthMonths/MonthsPerYear),0)</f>
        <v>0</v>
      </c>
      <c r="EU22" s="23" t="n">
        <f aca="false">IF(EU17=TRUE(),Capacity_MW*CapacityFactor*HoursPerYear*(PeriodLengthMonths/MonthsPerYear),0)</f>
        <v>0</v>
      </c>
      <c r="EV22" s="23" t="n">
        <f aca="false">IF(EV17=TRUE(),Capacity_MW*CapacityFactor*HoursPerYear*(PeriodLengthMonths/MonthsPerYear),0)</f>
        <v>0</v>
      </c>
      <c r="EW22" s="23" t="n">
        <f aca="false">IF(EW17=TRUE(),Capacity_MW*CapacityFactor*HoursPerYear*(PeriodLengthMonths/MonthsPerYear),0)</f>
        <v>0</v>
      </c>
      <c r="EX22" s="23" t="n">
        <f aca="false">IF(EX17=TRUE(),Capacity_MW*CapacityFactor*HoursPerYear*(PeriodLengthMonths/MonthsPerYear),0)</f>
        <v>0</v>
      </c>
      <c r="EY22" s="23" t="n">
        <f aca="false">IF(EY17=TRUE(),Capacity_MW*CapacityFactor*HoursPerYear*(PeriodLengthMonths/MonthsPerYear),0)</f>
        <v>0</v>
      </c>
      <c r="EZ22" s="23" t="n">
        <f aca="false">IF(EZ17=TRUE(),Capacity_MW*CapacityFactor*HoursPerYear*(PeriodLengthMonths/MonthsPerYear),0)</f>
        <v>0</v>
      </c>
      <c r="FA22" s="23" t="n">
        <f aca="false">IF(FA17=TRUE(),Capacity_MW*CapacityFactor*HoursPerYear*(PeriodLengthMonths/MonthsPerYear),0)</f>
        <v>0</v>
      </c>
      <c r="FB22" s="23" t="n">
        <f aca="false">IF(FB17=TRUE(),Capacity_MW*CapacityFactor*HoursPerYear*(PeriodLengthMonths/MonthsPerYear),0)</f>
        <v>0</v>
      </c>
      <c r="FC22" s="23" t="n">
        <f aca="false">IF(FC17=TRUE(),Capacity_MW*CapacityFactor*HoursPerYear*(PeriodLengthMonths/MonthsPerYear),0)</f>
        <v>0</v>
      </c>
      <c r="FD22" s="23" t="n">
        <f aca="false">IF(FD17=TRUE(),Capacity_MW*CapacityFactor*HoursPerYear*(PeriodLengthMonths/MonthsPerYear),0)</f>
        <v>0</v>
      </c>
      <c r="FE22" s="23" t="n">
        <f aca="false">IF(FE17=TRUE(),Capacity_MW*CapacityFactor*HoursPerYear*(PeriodLengthMonths/MonthsPerYear),0)</f>
        <v>0</v>
      </c>
      <c r="FF22" s="23" t="n">
        <f aca="false">IF(FF17=TRUE(),Capacity_MW*CapacityFactor*HoursPerYear*(PeriodLengthMonths/MonthsPerYear),0)</f>
        <v>0</v>
      </c>
      <c r="FG22" s="23" t="n">
        <f aca="false">IF(FG17=TRUE(),Capacity_MW*CapacityFactor*HoursPerYear*(PeriodLengthMonths/MonthsPerYear),0)</f>
        <v>0</v>
      </c>
      <c r="FH22" s="23" t="n">
        <f aca="false">IF(FH17=TRUE(),Capacity_MW*CapacityFactor*HoursPerYear*(PeriodLengthMonths/MonthsPerYear),0)</f>
        <v>0</v>
      </c>
      <c r="FI22" s="23" t="n">
        <f aca="false">IF(FI17=TRUE(),Capacity_MW*CapacityFactor*HoursPerYear*(PeriodLengthMonths/MonthsPerYear),0)</f>
        <v>0</v>
      </c>
      <c r="FJ22" s="23" t="n">
        <f aca="false">IF(FJ17=TRUE(),Capacity_MW*CapacityFactor*HoursPerYear*(PeriodLengthMonths/MonthsPerYear),0)</f>
        <v>0</v>
      </c>
      <c r="FK22" s="23" t="n">
        <f aca="false">IF(FK17=TRUE(),Capacity_MW*CapacityFactor*HoursPerYear*(PeriodLengthMonths/MonthsPerYear),0)</f>
        <v>0</v>
      </c>
    </row>
    <row r="23" customFormat="false" ht="15" hidden="false" customHeight="true" outlineLevel="0" collapsed="false">
      <c r="D23" s="21" t="s">
        <v>71</v>
      </c>
      <c r="E23" s="7" t="s">
        <v>28</v>
      </c>
      <c r="F23" s="22" t="n">
        <f aca="false">SUM(H23:FK23)</f>
        <v>-2700000</v>
      </c>
      <c r="H23" s="23" t="n">
        <f aca="false">-TotalCapEx*DebtPct*UpfrontFeePct</f>
        <v>-2700000</v>
      </c>
      <c r="I23" s="23" t="n">
        <f aca="false">0</f>
        <v>0</v>
      </c>
      <c r="J23" s="23" t="n">
        <f aca="false">0</f>
        <v>0</v>
      </c>
      <c r="K23" s="23" t="n">
        <f aca="false">0</f>
        <v>0</v>
      </c>
      <c r="L23" s="23" t="n">
        <f aca="false">0</f>
        <v>0</v>
      </c>
      <c r="M23" s="23" t="n">
        <f aca="false">0</f>
        <v>0</v>
      </c>
      <c r="N23" s="23" t="n">
        <f aca="false">0</f>
        <v>0</v>
      </c>
      <c r="O23" s="23" t="n">
        <f aca="false">0</f>
        <v>0</v>
      </c>
      <c r="P23" s="23" t="n">
        <f aca="false">0</f>
        <v>0</v>
      </c>
      <c r="Q23" s="23" t="n">
        <f aca="false">0</f>
        <v>0</v>
      </c>
      <c r="R23" s="23" t="n">
        <f aca="false">0</f>
        <v>0</v>
      </c>
      <c r="S23" s="23" t="n">
        <f aca="false">0</f>
        <v>0</v>
      </c>
      <c r="T23" s="23" t="n">
        <f aca="false">0</f>
        <v>0</v>
      </c>
      <c r="U23" s="23" t="n">
        <f aca="false">0</f>
        <v>0</v>
      </c>
      <c r="V23" s="23" t="n">
        <f aca="false">0</f>
        <v>0</v>
      </c>
      <c r="W23" s="23" t="n">
        <f aca="false">0</f>
        <v>0</v>
      </c>
      <c r="X23" s="23" t="n">
        <f aca="false">0</f>
        <v>0</v>
      </c>
      <c r="Y23" s="23" t="n">
        <f aca="false">0</f>
        <v>0</v>
      </c>
      <c r="Z23" s="23" t="n">
        <f aca="false">0</f>
        <v>0</v>
      </c>
      <c r="AA23" s="23" t="n">
        <f aca="false">0</f>
        <v>0</v>
      </c>
      <c r="AB23" s="23" t="n">
        <f aca="false">0</f>
        <v>0</v>
      </c>
      <c r="AC23" s="23" t="n">
        <f aca="false">0</f>
        <v>0</v>
      </c>
      <c r="AD23" s="23" t="n">
        <f aca="false">0</f>
        <v>0</v>
      </c>
      <c r="AE23" s="23" t="n">
        <f aca="false">0</f>
        <v>0</v>
      </c>
      <c r="AF23" s="23" t="n">
        <f aca="false">0</f>
        <v>0</v>
      </c>
      <c r="AG23" s="23" t="n">
        <f aca="false">0</f>
        <v>0</v>
      </c>
      <c r="AH23" s="23" t="n">
        <f aca="false">0</f>
        <v>0</v>
      </c>
      <c r="AI23" s="23" t="n">
        <f aca="false">0</f>
        <v>0</v>
      </c>
      <c r="AJ23" s="23" t="n">
        <f aca="false">0</f>
        <v>0</v>
      </c>
      <c r="AK23" s="23" t="n">
        <f aca="false">0</f>
        <v>0</v>
      </c>
      <c r="AL23" s="23" t="n">
        <f aca="false">0</f>
        <v>0</v>
      </c>
      <c r="AM23" s="23" t="n">
        <f aca="false">0</f>
        <v>0</v>
      </c>
      <c r="AN23" s="23" t="n">
        <f aca="false">0</f>
        <v>0</v>
      </c>
      <c r="AO23" s="23" t="n">
        <f aca="false">0</f>
        <v>0</v>
      </c>
      <c r="AP23" s="23" t="n">
        <f aca="false">0</f>
        <v>0</v>
      </c>
      <c r="AQ23" s="23" t="n">
        <f aca="false">0</f>
        <v>0</v>
      </c>
      <c r="AR23" s="23" t="n">
        <f aca="false">0</f>
        <v>0</v>
      </c>
      <c r="AS23" s="23" t="n">
        <f aca="false">0</f>
        <v>0</v>
      </c>
      <c r="AT23" s="23" t="n">
        <f aca="false">0</f>
        <v>0</v>
      </c>
      <c r="AU23" s="23" t="n">
        <f aca="false">0</f>
        <v>0</v>
      </c>
      <c r="AV23" s="23" t="n">
        <f aca="false">0</f>
        <v>0</v>
      </c>
      <c r="AW23" s="23" t="n">
        <f aca="false">0</f>
        <v>0</v>
      </c>
      <c r="AX23" s="23" t="n">
        <f aca="false">0</f>
        <v>0</v>
      </c>
      <c r="AY23" s="23" t="n">
        <f aca="false">0</f>
        <v>0</v>
      </c>
      <c r="AZ23" s="23" t="n">
        <f aca="false">0</f>
        <v>0</v>
      </c>
      <c r="BA23" s="23" t="n">
        <f aca="false">0</f>
        <v>0</v>
      </c>
      <c r="BB23" s="23" t="n">
        <f aca="false">0</f>
        <v>0</v>
      </c>
      <c r="BC23" s="23" t="n">
        <f aca="false">0</f>
        <v>0</v>
      </c>
      <c r="BD23" s="23" t="n">
        <f aca="false">0</f>
        <v>0</v>
      </c>
      <c r="BE23" s="23" t="n">
        <f aca="false">0</f>
        <v>0</v>
      </c>
      <c r="BF23" s="23" t="n">
        <f aca="false">0</f>
        <v>0</v>
      </c>
      <c r="BG23" s="23" t="n">
        <f aca="false">0</f>
        <v>0</v>
      </c>
      <c r="BH23" s="23" t="n">
        <f aca="false">0</f>
        <v>0</v>
      </c>
      <c r="BI23" s="23" t="n">
        <f aca="false">0</f>
        <v>0</v>
      </c>
      <c r="BJ23" s="23" t="n">
        <f aca="false">0</f>
        <v>0</v>
      </c>
      <c r="BK23" s="23" t="n">
        <f aca="false">0</f>
        <v>0</v>
      </c>
      <c r="BL23" s="23" t="n">
        <f aca="false">0</f>
        <v>0</v>
      </c>
      <c r="BM23" s="23" t="n">
        <f aca="false">0</f>
        <v>0</v>
      </c>
      <c r="BN23" s="23" t="n">
        <f aca="false">0</f>
        <v>0</v>
      </c>
      <c r="BO23" s="23" t="n">
        <f aca="false">0</f>
        <v>0</v>
      </c>
      <c r="BP23" s="23" t="n">
        <f aca="false">0</f>
        <v>0</v>
      </c>
      <c r="BQ23" s="23" t="n">
        <f aca="false">0</f>
        <v>0</v>
      </c>
      <c r="BR23" s="23" t="n">
        <f aca="false">0</f>
        <v>0</v>
      </c>
      <c r="BS23" s="23" t="n">
        <f aca="false">0</f>
        <v>0</v>
      </c>
      <c r="BT23" s="23" t="n">
        <f aca="false">0</f>
        <v>0</v>
      </c>
      <c r="BU23" s="23" t="n">
        <f aca="false">0</f>
        <v>0</v>
      </c>
      <c r="BV23" s="23" t="n">
        <f aca="false">0</f>
        <v>0</v>
      </c>
      <c r="BW23" s="23" t="n">
        <f aca="false">0</f>
        <v>0</v>
      </c>
      <c r="BX23" s="23" t="n">
        <f aca="false">0</f>
        <v>0</v>
      </c>
      <c r="BY23" s="23" t="n">
        <f aca="false">0</f>
        <v>0</v>
      </c>
      <c r="BZ23" s="23" t="n">
        <f aca="false">0</f>
        <v>0</v>
      </c>
      <c r="CA23" s="23" t="n">
        <f aca="false">0</f>
        <v>0</v>
      </c>
      <c r="CB23" s="23" t="n">
        <f aca="false">0</f>
        <v>0</v>
      </c>
      <c r="CC23" s="23" t="n">
        <f aca="false">0</f>
        <v>0</v>
      </c>
      <c r="CD23" s="23" t="n">
        <f aca="false">0</f>
        <v>0</v>
      </c>
      <c r="CE23" s="23" t="n">
        <f aca="false">0</f>
        <v>0</v>
      </c>
      <c r="CF23" s="23" t="n">
        <f aca="false">0</f>
        <v>0</v>
      </c>
      <c r="CG23" s="23" t="n">
        <f aca="false">0</f>
        <v>0</v>
      </c>
      <c r="CH23" s="23" t="n">
        <f aca="false">0</f>
        <v>0</v>
      </c>
      <c r="CI23" s="23" t="n">
        <f aca="false">0</f>
        <v>0</v>
      </c>
      <c r="CJ23" s="23" t="n">
        <f aca="false">0</f>
        <v>0</v>
      </c>
      <c r="CK23" s="23" t="n">
        <f aca="false">0</f>
        <v>0</v>
      </c>
      <c r="CL23" s="23" t="n">
        <f aca="false">0</f>
        <v>0</v>
      </c>
      <c r="CM23" s="23" t="n">
        <f aca="false">0</f>
        <v>0</v>
      </c>
      <c r="CN23" s="23" t="n">
        <f aca="false">0</f>
        <v>0</v>
      </c>
      <c r="CO23" s="23" t="n">
        <f aca="false">0</f>
        <v>0</v>
      </c>
      <c r="CP23" s="23" t="n">
        <f aca="false">0</f>
        <v>0</v>
      </c>
      <c r="CQ23" s="23" t="n">
        <f aca="false">0</f>
        <v>0</v>
      </c>
      <c r="CR23" s="23" t="n">
        <f aca="false">0</f>
        <v>0</v>
      </c>
      <c r="CS23" s="23" t="n">
        <f aca="false">0</f>
        <v>0</v>
      </c>
      <c r="CT23" s="23" t="n">
        <f aca="false">0</f>
        <v>0</v>
      </c>
      <c r="CU23" s="23" t="n">
        <f aca="false">0</f>
        <v>0</v>
      </c>
      <c r="CV23" s="23" t="n">
        <f aca="false">0</f>
        <v>0</v>
      </c>
      <c r="CW23" s="23" t="n">
        <f aca="false">0</f>
        <v>0</v>
      </c>
      <c r="CX23" s="23" t="n">
        <f aca="false">0</f>
        <v>0</v>
      </c>
      <c r="CY23" s="23" t="n">
        <f aca="false">0</f>
        <v>0</v>
      </c>
      <c r="CZ23" s="23" t="n">
        <f aca="false">0</f>
        <v>0</v>
      </c>
      <c r="DA23" s="23" t="n">
        <f aca="false">0</f>
        <v>0</v>
      </c>
      <c r="DB23" s="23" t="n">
        <f aca="false">0</f>
        <v>0</v>
      </c>
      <c r="DC23" s="23" t="n">
        <f aca="false">0</f>
        <v>0</v>
      </c>
      <c r="DD23" s="23" t="n">
        <f aca="false">0</f>
        <v>0</v>
      </c>
      <c r="DE23" s="23" t="n">
        <f aca="false">0</f>
        <v>0</v>
      </c>
      <c r="DF23" s="23" t="n">
        <f aca="false">0</f>
        <v>0</v>
      </c>
      <c r="DG23" s="23" t="n">
        <f aca="false">0</f>
        <v>0</v>
      </c>
      <c r="DH23" s="23" t="n">
        <f aca="false">0</f>
        <v>0</v>
      </c>
      <c r="DI23" s="23" t="n">
        <f aca="false">0</f>
        <v>0</v>
      </c>
      <c r="DJ23" s="23" t="n">
        <f aca="false">0</f>
        <v>0</v>
      </c>
      <c r="DK23" s="23" t="n">
        <f aca="false">0</f>
        <v>0</v>
      </c>
      <c r="DL23" s="23" t="n">
        <f aca="false">0</f>
        <v>0</v>
      </c>
      <c r="DM23" s="23" t="n">
        <f aca="false">0</f>
        <v>0</v>
      </c>
      <c r="DN23" s="23" t="n">
        <f aca="false">0</f>
        <v>0</v>
      </c>
      <c r="DO23" s="23" t="n">
        <f aca="false">0</f>
        <v>0</v>
      </c>
      <c r="DP23" s="23" t="n">
        <f aca="false">0</f>
        <v>0</v>
      </c>
      <c r="DQ23" s="23" t="n">
        <f aca="false">0</f>
        <v>0</v>
      </c>
      <c r="DR23" s="23" t="n">
        <f aca="false">0</f>
        <v>0</v>
      </c>
      <c r="DS23" s="23" t="n">
        <f aca="false">0</f>
        <v>0</v>
      </c>
      <c r="DT23" s="23" t="n">
        <f aca="false">0</f>
        <v>0</v>
      </c>
      <c r="DU23" s="23" t="n">
        <f aca="false">0</f>
        <v>0</v>
      </c>
      <c r="DV23" s="23" t="n">
        <f aca="false">0</f>
        <v>0</v>
      </c>
      <c r="DW23" s="23" t="n">
        <f aca="false">0</f>
        <v>0</v>
      </c>
      <c r="DX23" s="23" t="n">
        <f aca="false">0</f>
        <v>0</v>
      </c>
      <c r="DY23" s="23" t="n">
        <f aca="false">0</f>
        <v>0</v>
      </c>
      <c r="DZ23" s="23" t="n">
        <f aca="false">0</f>
        <v>0</v>
      </c>
      <c r="EA23" s="23" t="n">
        <f aca="false">0</f>
        <v>0</v>
      </c>
      <c r="EB23" s="23" t="n">
        <f aca="false">0</f>
        <v>0</v>
      </c>
      <c r="EC23" s="23" t="n">
        <f aca="false">0</f>
        <v>0</v>
      </c>
      <c r="ED23" s="23" t="n">
        <f aca="false">0</f>
        <v>0</v>
      </c>
      <c r="EE23" s="23" t="n">
        <f aca="false">0</f>
        <v>0</v>
      </c>
      <c r="EF23" s="23" t="n">
        <f aca="false">0</f>
        <v>0</v>
      </c>
      <c r="EG23" s="23" t="n">
        <f aca="false">0</f>
        <v>0</v>
      </c>
      <c r="EH23" s="23" t="n">
        <f aca="false">0</f>
        <v>0</v>
      </c>
      <c r="EI23" s="23" t="n">
        <f aca="false">0</f>
        <v>0</v>
      </c>
      <c r="EJ23" s="23" t="n">
        <f aca="false">0</f>
        <v>0</v>
      </c>
      <c r="EK23" s="23" t="n">
        <f aca="false">0</f>
        <v>0</v>
      </c>
      <c r="EL23" s="23" t="n">
        <f aca="false">0</f>
        <v>0</v>
      </c>
      <c r="EM23" s="23" t="n">
        <f aca="false">0</f>
        <v>0</v>
      </c>
      <c r="EN23" s="23" t="n">
        <f aca="false">0</f>
        <v>0</v>
      </c>
      <c r="EO23" s="23" t="n">
        <f aca="false">0</f>
        <v>0</v>
      </c>
      <c r="EP23" s="23" t="n">
        <f aca="false">0</f>
        <v>0</v>
      </c>
      <c r="EQ23" s="23" t="n">
        <f aca="false">0</f>
        <v>0</v>
      </c>
      <c r="ER23" s="23" t="n">
        <f aca="false">0</f>
        <v>0</v>
      </c>
      <c r="ES23" s="23" t="n">
        <f aca="false">0</f>
        <v>0</v>
      </c>
      <c r="ET23" s="23" t="n">
        <f aca="false">0</f>
        <v>0</v>
      </c>
      <c r="EU23" s="23" t="n">
        <f aca="false">0</f>
        <v>0</v>
      </c>
      <c r="EV23" s="23" t="n">
        <f aca="false">0</f>
        <v>0</v>
      </c>
      <c r="EW23" s="23" t="n">
        <f aca="false">0</f>
        <v>0</v>
      </c>
      <c r="EX23" s="23" t="n">
        <f aca="false">0</f>
        <v>0</v>
      </c>
      <c r="EY23" s="23" t="n">
        <f aca="false">0</f>
        <v>0</v>
      </c>
      <c r="EZ23" s="23" t="n">
        <f aca="false">0</f>
        <v>0</v>
      </c>
      <c r="FA23" s="23" t="n">
        <f aca="false">0</f>
        <v>0</v>
      </c>
      <c r="FB23" s="23" t="n">
        <f aca="false">0</f>
        <v>0</v>
      </c>
      <c r="FC23" s="23" t="n">
        <f aca="false">0</f>
        <v>0</v>
      </c>
      <c r="FD23" s="23" t="n">
        <f aca="false">0</f>
        <v>0</v>
      </c>
      <c r="FE23" s="23" t="n">
        <f aca="false">0</f>
        <v>0</v>
      </c>
      <c r="FF23" s="23" t="n">
        <f aca="false">0</f>
        <v>0</v>
      </c>
      <c r="FG23" s="23" t="n">
        <f aca="false">0</f>
        <v>0</v>
      </c>
      <c r="FH23" s="23" t="n">
        <f aca="false">0</f>
        <v>0</v>
      </c>
      <c r="FI23" s="23" t="n">
        <f aca="false">0</f>
        <v>0</v>
      </c>
      <c r="FJ23" s="23" t="n">
        <f aca="false">0</f>
        <v>0</v>
      </c>
      <c r="FK23" s="23" t="n">
        <f aca="false">0</f>
        <v>0</v>
      </c>
    </row>
    <row r="24" customFormat="false" ht="15" hidden="false" customHeight="true" outlineLevel="0" collapsed="false">
      <c r="D24" s="21" t="s">
        <v>72</v>
      </c>
      <c r="E24" s="7" t="s">
        <v>28</v>
      </c>
      <c r="F24" s="22" t="n">
        <f aca="false">SUM(H24:FK24)</f>
        <v>-4050000</v>
      </c>
      <c r="H24" s="23" t="n">
        <f aca="false">-TotalCapEx*DebtPct*DebtClosingCostPct</f>
        <v>-4050000</v>
      </c>
      <c r="I24" s="23" t="n">
        <f aca="false">0</f>
        <v>0</v>
      </c>
      <c r="J24" s="23" t="n">
        <f aca="false">0</f>
        <v>0</v>
      </c>
      <c r="K24" s="23" t="n">
        <f aca="false">0</f>
        <v>0</v>
      </c>
      <c r="L24" s="23" t="n">
        <f aca="false">0</f>
        <v>0</v>
      </c>
      <c r="M24" s="23" t="n">
        <f aca="false">0</f>
        <v>0</v>
      </c>
      <c r="N24" s="23" t="n">
        <f aca="false">0</f>
        <v>0</v>
      </c>
      <c r="O24" s="23" t="n">
        <f aca="false">0</f>
        <v>0</v>
      </c>
      <c r="P24" s="23" t="n">
        <f aca="false">0</f>
        <v>0</v>
      </c>
      <c r="Q24" s="23" t="n">
        <f aca="false">0</f>
        <v>0</v>
      </c>
      <c r="R24" s="23" t="n">
        <f aca="false">0</f>
        <v>0</v>
      </c>
      <c r="S24" s="23" t="n">
        <f aca="false">0</f>
        <v>0</v>
      </c>
      <c r="T24" s="23" t="n">
        <f aca="false">0</f>
        <v>0</v>
      </c>
      <c r="U24" s="23" t="n">
        <f aca="false">0</f>
        <v>0</v>
      </c>
      <c r="V24" s="23" t="n">
        <f aca="false">0</f>
        <v>0</v>
      </c>
      <c r="W24" s="23" t="n">
        <f aca="false">0</f>
        <v>0</v>
      </c>
      <c r="X24" s="23" t="n">
        <f aca="false">0</f>
        <v>0</v>
      </c>
      <c r="Y24" s="23" t="n">
        <f aca="false">0</f>
        <v>0</v>
      </c>
      <c r="Z24" s="23" t="n">
        <f aca="false">0</f>
        <v>0</v>
      </c>
      <c r="AA24" s="23" t="n">
        <f aca="false">0</f>
        <v>0</v>
      </c>
      <c r="AB24" s="23" t="n">
        <f aca="false">0</f>
        <v>0</v>
      </c>
      <c r="AC24" s="23" t="n">
        <f aca="false">0</f>
        <v>0</v>
      </c>
      <c r="AD24" s="23" t="n">
        <f aca="false">0</f>
        <v>0</v>
      </c>
      <c r="AE24" s="23" t="n">
        <f aca="false">0</f>
        <v>0</v>
      </c>
      <c r="AF24" s="23" t="n">
        <f aca="false">0</f>
        <v>0</v>
      </c>
      <c r="AG24" s="23" t="n">
        <f aca="false">0</f>
        <v>0</v>
      </c>
      <c r="AH24" s="23" t="n">
        <f aca="false">0</f>
        <v>0</v>
      </c>
      <c r="AI24" s="23" t="n">
        <f aca="false">0</f>
        <v>0</v>
      </c>
      <c r="AJ24" s="23" t="n">
        <f aca="false">0</f>
        <v>0</v>
      </c>
      <c r="AK24" s="23" t="n">
        <f aca="false">0</f>
        <v>0</v>
      </c>
      <c r="AL24" s="23" t="n">
        <f aca="false">0</f>
        <v>0</v>
      </c>
      <c r="AM24" s="23" t="n">
        <f aca="false">0</f>
        <v>0</v>
      </c>
      <c r="AN24" s="23" t="n">
        <f aca="false">0</f>
        <v>0</v>
      </c>
      <c r="AO24" s="23" t="n">
        <f aca="false">0</f>
        <v>0</v>
      </c>
      <c r="AP24" s="23" t="n">
        <f aca="false">0</f>
        <v>0</v>
      </c>
      <c r="AQ24" s="23" t="n">
        <f aca="false">0</f>
        <v>0</v>
      </c>
      <c r="AR24" s="23" t="n">
        <f aca="false">0</f>
        <v>0</v>
      </c>
      <c r="AS24" s="23" t="n">
        <f aca="false">0</f>
        <v>0</v>
      </c>
      <c r="AT24" s="23" t="n">
        <f aca="false">0</f>
        <v>0</v>
      </c>
      <c r="AU24" s="23" t="n">
        <f aca="false">0</f>
        <v>0</v>
      </c>
      <c r="AV24" s="23" t="n">
        <f aca="false">0</f>
        <v>0</v>
      </c>
      <c r="AW24" s="23" t="n">
        <f aca="false">0</f>
        <v>0</v>
      </c>
      <c r="AX24" s="23" t="n">
        <f aca="false">0</f>
        <v>0</v>
      </c>
      <c r="AY24" s="23" t="n">
        <f aca="false">0</f>
        <v>0</v>
      </c>
      <c r="AZ24" s="23" t="n">
        <f aca="false">0</f>
        <v>0</v>
      </c>
      <c r="BA24" s="23" t="n">
        <f aca="false">0</f>
        <v>0</v>
      </c>
      <c r="BB24" s="23" t="n">
        <f aca="false">0</f>
        <v>0</v>
      </c>
      <c r="BC24" s="23" t="n">
        <f aca="false">0</f>
        <v>0</v>
      </c>
      <c r="BD24" s="23" t="n">
        <f aca="false">0</f>
        <v>0</v>
      </c>
      <c r="BE24" s="23" t="n">
        <f aca="false">0</f>
        <v>0</v>
      </c>
      <c r="BF24" s="23" t="n">
        <f aca="false">0</f>
        <v>0</v>
      </c>
      <c r="BG24" s="23" t="n">
        <f aca="false">0</f>
        <v>0</v>
      </c>
      <c r="BH24" s="23" t="n">
        <f aca="false">0</f>
        <v>0</v>
      </c>
      <c r="BI24" s="23" t="n">
        <f aca="false">0</f>
        <v>0</v>
      </c>
      <c r="BJ24" s="23" t="n">
        <f aca="false">0</f>
        <v>0</v>
      </c>
      <c r="BK24" s="23" t="n">
        <f aca="false">0</f>
        <v>0</v>
      </c>
      <c r="BL24" s="23" t="n">
        <f aca="false">0</f>
        <v>0</v>
      </c>
      <c r="BM24" s="23" t="n">
        <f aca="false">0</f>
        <v>0</v>
      </c>
      <c r="BN24" s="23" t="n">
        <f aca="false">0</f>
        <v>0</v>
      </c>
      <c r="BO24" s="23" t="n">
        <f aca="false">0</f>
        <v>0</v>
      </c>
      <c r="BP24" s="23" t="n">
        <f aca="false">0</f>
        <v>0</v>
      </c>
      <c r="BQ24" s="23" t="n">
        <f aca="false">0</f>
        <v>0</v>
      </c>
      <c r="BR24" s="23" t="n">
        <f aca="false">0</f>
        <v>0</v>
      </c>
      <c r="BS24" s="23" t="n">
        <f aca="false">0</f>
        <v>0</v>
      </c>
      <c r="BT24" s="23" t="n">
        <f aca="false">0</f>
        <v>0</v>
      </c>
      <c r="BU24" s="23" t="n">
        <f aca="false">0</f>
        <v>0</v>
      </c>
      <c r="BV24" s="23" t="n">
        <f aca="false">0</f>
        <v>0</v>
      </c>
      <c r="BW24" s="23" t="n">
        <f aca="false">0</f>
        <v>0</v>
      </c>
      <c r="BX24" s="23" t="n">
        <f aca="false">0</f>
        <v>0</v>
      </c>
      <c r="BY24" s="23" t="n">
        <f aca="false">0</f>
        <v>0</v>
      </c>
      <c r="BZ24" s="23" t="n">
        <f aca="false">0</f>
        <v>0</v>
      </c>
      <c r="CA24" s="23" t="n">
        <f aca="false">0</f>
        <v>0</v>
      </c>
      <c r="CB24" s="23" t="n">
        <f aca="false">0</f>
        <v>0</v>
      </c>
      <c r="CC24" s="23" t="n">
        <f aca="false">0</f>
        <v>0</v>
      </c>
      <c r="CD24" s="23" t="n">
        <f aca="false">0</f>
        <v>0</v>
      </c>
      <c r="CE24" s="23" t="n">
        <f aca="false">0</f>
        <v>0</v>
      </c>
      <c r="CF24" s="23" t="n">
        <f aca="false">0</f>
        <v>0</v>
      </c>
      <c r="CG24" s="23" t="n">
        <f aca="false">0</f>
        <v>0</v>
      </c>
      <c r="CH24" s="23" t="n">
        <f aca="false">0</f>
        <v>0</v>
      </c>
      <c r="CI24" s="23" t="n">
        <f aca="false">0</f>
        <v>0</v>
      </c>
      <c r="CJ24" s="23" t="n">
        <f aca="false">0</f>
        <v>0</v>
      </c>
      <c r="CK24" s="23" t="n">
        <f aca="false">0</f>
        <v>0</v>
      </c>
      <c r="CL24" s="23" t="n">
        <f aca="false">0</f>
        <v>0</v>
      </c>
      <c r="CM24" s="23" t="n">
        <f aca="false">0</f>
        <v>0</v>
      </c>
      <c r="CN24" s="23" t="n">
        <f aca="false">0</f>
        <v>0</v>
      </c>
      <c r="CO24" s="23" t="n">
        <f aca="false">0</f>
        <v>0</v>
      </c>
      <c r="CP24" s="23" t="n">
        <f aca="false">0</f>
        <v>0</v>
      </c>
      <c r="CQ24" s="23" t="n">
        <f aca="false">0</f>
        <v>0</v>
      </c>
      <c r="CR24" s="23" t="n">
        <f aca="false">0</f>
        <v>0</v>
      </c>
      <c r="CS24" s="23" t="n">
        <f aca="false">0</f>
        <v>0</v>
      </c>
      <c r="CT24" s="23" t="n">
        <f aca="false">0</f>
        <v>0</v>
      </c>
      <c r="CU24" s="23" t="n">
        <f aca="false">0</f>
        <v>0</v>
      </c>
      <c r="CV24" s="23" t="n">
        <f aca="false">0</f>
        <v>0</v>
      </c>
      <c r="CW24" s="23" t="n">
        <f aca="false">0</f>
        <v>0</v>
      </c>
      <c r="CX24" s="23" t="n">
        <f aca="false">0</f>
        <v>0</v>
      </c>
      <c r="CY24" s="23" t="n">
        <f aca="false">0</f>
        <v>0</v>
      </c>
      <c r="CZ24" s="23" t="n">
        <f aca="false">0</f>
        <v>0</v>
      </c>
      <c r="DA24" s="23" t="n">
        <f aca="false">0</f>
        <v>0</v>
      </c>
      <c r="DB24" s="23" t="n">
        <f aca="false">0</f>
        <v>0</v>
      </c>
      <c r="DC24" s="23" t="n">
        <f aca="false">0</f>
        <v>0</v>
      </c>
      <c r="DD24" s="23" t="n">
        <f aca="false">0</f>
        <v>0</v>
      </c>
      <c r="DE24" s="23" t="n">
        <f aca="false">0</f>
        <v>0</v>
      </c>
      <c r="DF24" s="23" t="n">
        <f aca="false">0</f>
        <v>0</v>
      </c>
      <c r="DG24" s="23" t="n">
        <f aca="false">0</f>
        <v>0</v>
      </c>
      <c r="DH24" s="23" t="n">
        <f aca="false">0</f>
        <v>0</v>
      </c>
      <c r="DI24" s="23" t="n">
        <f aca="false">0</f>
        <v>0</v>
      </c>
      <c r="DJ24" s="23" t="n">
        <f aca="false">0</f>
        <v>0</v>
      </c>
      <c r="DK24" s="23" t="n">
        <f aca="false">0</f>
        <v>0</v>
      </c>
      <c r="DL24" s="23" t="n">
        <f aca="false">0</f>
        <v>0</v>
      </c>
      <c r="DM24" s="23" t="n">
        <f aca="false">0</f>
        <v>0</v>
      </c>
      <c r="DN24" s="23" t="n">
        <f aca="false">0</f>
        <v>0</v>
      </c>
      <c r="DO24" s="23" t="n">
        <f aca="false">0</f>
        <v>0</v>
      </c>
      <c r="DP24" s="23" t="n">
        <f aca="false">0</f>
        <v>0</v>
      </c>
      <c r="DQ24" s="23" t="n">
        <f aca="false">0</f>
        <v>0</v>
      </c>
      <c r="DR24" s="23" t="n">
        <f aca="false">0</f>
        <v>0</v>
      </c>
      <c r="DS24" s="23" t="n">
        <f aca="false">0</f>
        <v>0</v>
      </c>
      <c r="DT24" s="23" t="n">
        <f aca="false">0</f>
        <v>0</v>
      </c>
      <c r="DU24" s="23" t="n">
        <f aca="false">0</f>
        <v>0</v>
      </c>
      <c r="DV24" s="23" t="n">
        <f aca="false">0</f>
        <v>0</v>
      </c>
      <c r="DW24" s="23" t="n">
        <f aca="false">0</f>
        <v>0</v>
      </c>
      <c r="DX24" s="23" t="n">
        <f aca="false">0</f>
        <v>0</v>
      </c>
      <c r="DY24" s="23" t="n">
        <f aca="false">0</f>
        <v>0</v>
      </c>
      <c r="DZ24" s="23" t="n">
        <f aca="false">0</f>
        <v>0</v>
      </c>
      <c r="EA24" s="23" t="n">
        <f aca="false">0</f>
        <v>0</v>
      </c>
      <c r="EB24" s="23" t="n">
        <f aca="false">0</f>
        <v>0</v>
      </c>
      <c r="EC24" s="23" t="n">
        <f aca="false">0</f>
        <v>0</v>
      </c>
      <c r="ED24" s="23" t="n">
        <f aca="false">0</f>
        <v>0</v>
      </c>
      <c r="EE24" s="23" t="n">
        <f aca="false">0</f>
        <v>0</v>
      </c>
      <c r="EF24" s="23" t="n">
        <f aca="false">0</f>
        <v>0</v>
      </c>
      <c r="EG24" s="23" t="n">
        <f aca="false">0</f>
        <v>0</v>
      </c>
      <c r="EH24" s="23" t="n">
        <f aca="false">0</f>
        <v>0</v>
      </c>
      <c r="EI24" s="23" t="n">
        <f aca="false">0</f>
        <v>0</v>
      </c>
      <c r="EJ24" s="23" t="n">
        <f aca="false">0</f>
        <v>0</v>
      </c>
      <c r="EK24" s="23" t="n">
        <f aca="false">0</f>
        <v>0</v>
      </c>
      <c r="EL24" s="23" t="n">
        <f aca="false">0</f>
        <v>0</v>
      </c>
      <c r="EM24" s="23" t="n">
        <f aca="false">0</f>
        <v>0</v>
      </c>
      <c r="EN24" s="23" t="n">
        <f aca="false">0</f>
        <v>0</v>
      </c>
      <c r="EO24" s="23" t="n">
        <f aca="false">0</f>
        <v>0</v>
      </c>
      <c r="EP24" s="23" t="n">
        <f aca="false">0</f>
        <v>0</v>
      </c>
      <c r="EQ24" s="23" t="n">
        <f aca="false">0</f>
        <v>0</v>
      </c>
      <c r="ER24" s="23" t="n">
        <f aca="false">0</f>
        <v>0</v>
      </c>
      <c r="ES24" s="23" t="n">
        <f aca="false">0</f>
        <v>0</v>
      </c>
      <c r="ET24" s="23" t="n">
        <f aca="false">0</f>
        <v>0</v>
      </c>
      <c r="EU24" s="23" t="n">
        <f aca="false">0</f>
        <v>0</v>
      </c>
      <c r="EV24" s="23" t="n">
        <f aca="false">0</f>
        <v>0</v>
      </c>
      <c r="EW24" s="23" t="n">
        <f aca="false">0</f>
        <v>0</v>
      </c>
      <c r="EX24" s="23" t="n">
        <f aca="false">0</f>
        <v>0</v>
      </c>
      <c r="EY24" s="23" t="n">
        <f aca="false">0</f>
        <v>0</v>
      </c>
      <c r="EZ24" s="23" t="n">
        <f aca="false">0</f>
        <v>0</v>
      </c>
      <c r="FA24" s="23" t="n">
        <f aca="false">0</f>
        <v>0</v>
      </c>
      <c r="FB24" s="23" t="n">
        <f aca="false">0</f>
        <v>0</v>
      </c>
      <c r="FC24" s="23" t="n">
        <f aca="false">0</f>
        <v>0</v>
      </c>
      <c r="FD24" s="23" t="n">
        <f aca="false">0</f>
        <v>0</v>
      </c>
      <c r="FE24" s="23" t="n">
        <f aca="false">0</f>
        <v>0</v>
      </c>
      <c r="FF24" s="23" t="n">
        <f aca="false">0</f>
        <v>0</v>
      </c>
      <c r="FG24" s="23" t="n">
        <f aca="false">0</f>
        <v>0</v>
      </c>
      <c r="FH24" s="23" t="n">
        <f aca="false">0</f>
        <v>0</v>
      </c>
      <c r="FI24" s="23" t="n">
        <f aca="false">0</f>
        <v>0</v>
      </c>
      <c r="FJ24" s="23" t="n">
        <f aca="false">0</f>
        <v>0</v>
      </c>
      <c r="FK24" s="23" t="n">
        <f aca="false">0</f>
        <v>0</v>
      </c>
    </row>
    <row r="25" customFormat="false" ht="15" hidden="false" customHeight="true" outlineLevel="0" collapsed="false">
      <c r="D25" s="21" t="s">
        <v>73</v>
      </c>
      <c r="E25" s="7" t="s">
        <v>28</v>
      </c>
      <c r="F25" s="22" t="n">
        <f aca="false">SUM(H25:FK25)</f>
        <v>-450000000</v>
      </c>
      <c r="H25" s="23" t="n">
        <f aca="false">IF(H16=TRUE(),-TotalCapEx/COUNTIF($H$16:$FK$16,TRUE()),0)</f>
        <v>-112500000</v>
      </c>
      <c r="I25" s="23" t="n">
        <f aca="false">IF(I16=TRUE(),-TotalCapEx/COUNTIF($H$16:$FK$16,TRUE()),0)</f>
        <v>-112500000</v>
      </c>
      <c r="J25" s="23" t="n">
        <f aca="false">IF(J16=TRUE(),-TotalCapEx/COUNTIF($H$16:$FK$16,TRUE()),0)</f>
        <v>-112500000</v>
      </c>
      <c r="K25" s="23" t="n">
        <f aca="false">IF(K16=TRUE(),-TotalCapEx/COUNTIF($H$16:$FK$16,TRUE()),0)</f>
        <v>-112500000</v>
      </c>
      <c r="L25" s="23" t="n">
        <f aca="false">IF(L16=TRUE(),-TotalCapEx/COUNTIF($H$16:$FK$16,TRUE()),0)</f>
        <v>0</v>
      </c>
      <c r="M25" s="23" t="n">
        <f aca="false">IF(M16=TRUE(),-TotalCapEx/COUNTIF($H$16:$FK$16,TRUE()),0)</f>
        <v>0</v>
      </c>
      <c r="N25" s="23" t="n">
        <f aca="false">IF(N16=TRUE(),-TotalCapEx/COUNTIF($H$16:$FK$16,TRUE()),0)</f>
        <v>0</v>
      </c>
      <c r="O25" s="23" t="n">
        <f aca="false">IF(O16=TRUE(),-TotalCapEx/COUNTIF($H$16:$FK$16,TRUE()),0)</f>
        <v>0</v>
      </c>
      <c r="P25" s="23" t="n">
        <f aca="false">IF(P16=TRUE(),-TotalCapEx/COUNTIF($H$16:$FK$16,TRUE()),0)</f>
        <v>0</v>
      </c>
      <c r="Q25" s="23" t="n">
        <f aca="false">IF(Q16=TRUE(),-TotalCapEx/COUNTIF($H$16:$FK$16,TRUE()),0)</f>
        <v>0</v>
      </c>
      <c r="R25" s="23" t="n">
        <f aca="false">IF(R16=TRUE(),-TotalCapEx/COUNTIF($H$16:$FK$16,TRUE()),0)</f>
        <v>0</v>
      </c>
      <c r="S25" s="23" t="n">
        <f aca="false">IF(S16=TRUE(),-TotalCapEx/COUNTIF($H$16:$FK$16,TRUE()),0)</f>
        <v>0</v>
      </c>
      <c r="T25" s="23" t="n">
        <f aca="false">IF(T16=TRUE(),-TotalCapEx/COUNTIF($H$16:$FK$16,TRUE()),0)</f>
        <v>0</v>
      </c>
      <c r="U25" s="23" t="n">
        <f aca="false">IF(U16=TRUE(),-TotalCapEx/COUNTIF($H$16:$FK$16,TRUE()),0)</f>
        <v>0</v>
      </c>
      <c r="V25" s="23" t="n">
        <f aca="false">IF(V16=TRUE(),-TotalCapEx/COUNTIF($H$16:$FK$16,TRUE()),0)</f>
        <v>0</v>
      </c>
      <c r="W25" s="23" t="n">
        <f aca="false">IF(W16=TRUE(),-TotalCapEx/COUNTIF($H$16:$FK$16,TRUE()),0)</f>
        <v>0</v>
      </c>
      <c r="X25" s="23" t="n">
        <f aca="false">IF(X16=TRUE(),-TotalCapEx/COUNTIF($H$16:$FK$16,TRUE()),0)</f>
        <v>0</v>
      </c>
      <c r="Y25" s="23" t="n">
        <f aca="false">IF(Y16=TRUE(),-TotalCapEx/COUNTIF($H$16:$FK$16,TRUE()),0)</f>
        <v>0</v>
      </c>
      <c r="Z25" s="23" t="n">
        <f aca="false">IF(Z16=TRUE(),-TotalCapEx/COUNTIF($H$16:$FK$16,TRUE()),0)</f>
        <v>0</v>
      </c>
      <c r="AA25" s="23" t="n">
        <f aca="false">IF(AA16=TRUE(),-TotalCapEx/COUNTIF($H$16:$FK$16,TRUE()),0)</f>
        <v>0</v>
      </c>
      <c r="AB25" s="23" t="n">
        <f aca="false">IF(AB16=TRUE(),-TotalCapEx/COUNTIF($H$16:$FK$16,TRUE()),0)</f>
        <v>0</v>
      </c>
      <c r="AC25" s="23" t="n">
        <f aca="false">IF(AC16=TRUE(),-TotalCapEx/COUNTIF($H$16:$FK$16,TRUE()),0)</f>
        <v>0</v>
      </c>
      <c r="AD25" s="23" t="n">
        <f aca="false">IF(AD16=TRUE(),-TotalCapEx/COUNTIF($H$16:$FK$16,TRUE()),0)</f>
        <v>0</v>
      </c>
      <c r="AE25" s="23" t="n">
        <f aca="false">IF(AE16=TRUE(),-TotalCapEx/COUNTIF($H$16:$FK$16,TRUE()),0)</f>
        <v>0</v>
      </c>
      <c r="AF25" s="23" t="n">
        <f aca="false">IF(AF16=TRUE(),-TotalCapEx/COUNTIF($H$16:$FK$16,TRUE()),0)</f>
        <v>0</v>
      </c>
      <c r="AG25" s="23" t="n">
        <f aca="false">IF(AG16=TRUE(),-TotalCapEx/COUNTIF($H$16:$FK$16,TRUE()),0)</f>
        <v>0</v>
      </c>
      <c r="AH25" s="23" t="n">
        <f aca="false">IF(AH16=TRUE(),-TotalCapEx/COUNTIF($H$16:$FK$16,TRUE()),0)</f>
        <v>0</v>
      </c>
      <c r="AI25" s="23" t="n">
        <f aca="false">IF(AI16=TRUE(),-TotalCapEx/COUNTIF($H$16:$FK$16,TRUE()),0)</f>
        <v>0</v>
      </c>
      <c r="AJ25" s="23" t="n">
        <f aca="false">IF(AJ16=TRUE(),-TotalCapEx/COUNTIF($H$16:$FK$16,TRUE()),0)</f>
        <v>0</v>
      </c>
      <c r="AK25" s="23" t="n">
        <f aca="false">IF(AK16=TRUE(),-TotalCapEx/COUNTIF($H$16:$FK$16,TRUE()),0)</f>
        <v>0</v>
      </c>
      <c r="AL25" s="23" t="n">
        <f aca="false">IF(AL16=TRUE(),-TotalCapEx/COUNTIF($H$16:$FK$16,TRUE()),0)</f>
        <v>0</v>
      </c>
      <c r="AM25" s="23" t="n">
        <f aca="false">IF(AM16=TRUE(),-TotalCapEx/COUNTIF($H$16:$FK$16,TRUE()),0)</f>
        <v>0</v>
      </c>
      <c r="AN25" s="23" t="n">
        <f aca="false">IF(AN16=TRUE(),-TotalCapEx/COUNTIF($H$16:$FK$16,TRUE()),0)</f>
        <v>0</v>
      </c>
      <c r="AO25" s="23" t="n">
        <f aca="false">IF(AO16=TRUE(),-TotalCapEx/COUNTIF($H$16:$FK$16,TRUE()),0)</f>
        <v>0</v>
      </c>
      <c r="AP25" s="23" t="n">
        <f aca="false">IF(AP16=TRUE(),-TotalCapEx/COUNTIF($H$16:$FK$16,TRUE()),0)</f>
        <v>0</v>
      </c>
      <c r="AQ25" s="23" t="n">
        <f aca="false">IF(AQ16=TRUE(),-TotalCapEx/COUNTIF($H$16:$FK$16,TRUE()),0)</f>
        <v>0</v>
      </c>
      <c r="AR25" s="23" t="n">
        <f aca="false">IF(AR16=TRUE(),-TotalCapEx/COUNTIF($H$16:$FK$16,TRUE()),0)</f>
        <v>0</v>
      </c>
      <c r="AS25" s="23" t="n">
        <f aca="false">IF(AS16=TRUE(),-TotalCapEx/COUNTIF($H$16:$FK$16,TRUE()),0)</f>
        <v>0</v>
      </c>
      <c r="AT25" s="23" t="n">
        <f aca="false">IF(AT16=TRUE(),-TotalCapEx/COUNTIF($H$16:$FK$16,TRUE()),0)</f>
        <v>0</v>
      </c>
      <c r="AU25" s="23" t="n">
        <f aca="false">IF(AU16=TRUE(),-TotalCapEx/COUNTIF($H$16:$FK$16,TRUE()),0)</f>
        <v>0</v>
      </c>
      <c r="AV25" s="23" t="n">
        <f aca="false">IF(AV16=TRUE(),-TotalCapEx/COUNTIF($H$16:$FK$16,TRUE()),0)</f>
        <v>0</v>
      </c>
      <c r="AW25" s="23" t="n">
        <f aca="false">IF(AW16=TRUE(),-TotalCapEx/COUNTIF($H$16:$FK$16,TRUE()),0)</f>
        <v>0</v>
      </c>
      <c r="AX25" s="23" t="n">
        <f aca="false">IF(AX16=TRUE(),-TotalCapEx/COUNTIF($H$16:$FK$16,TRUE()),0)</f>
        <v>0</v>
      </c>
      <c r="AY25" s="23" t="n">
        <f aca="false">IF(AY16=TRUE(),-TotalCapEx/COUNTIF($H$16:$FK$16,TRUE()),0)</f>
        <v>0</v>
      </c>
      <c r="AZ25" s="23" t="n">
        <f aca="false">IF(AZ16=TRUE(),-TotalCapEx/COUNTIF($H$16:$FK$16,TRUE()),0)</f>
        <v>0</v>
      </c>
      <c r="BA25" s="23" t="n">
        <f aca="false">IF(BA16=TRUE(),-TotalCapEx/COUNTIF($H$16:$FK$16,TRUE()),0)</f>
        <v>0</v>
      </c>
      <c r="BB25" s="23" t="n">
        <f aca="false">IF(BB16=TRUE(),-TotalCapEx/COUNTIF($H$16:$FK$16,TRUE()),0)</f>
        <v>0</v>
      </c>
      <c r="BC25" s="23" t="n">
        <f aca="false">IF(BC16=TRUE(),-TotalCapEx/COUNTIF($H$16:$FK$16,TRUE()),0)</f>
        <v>0</v>
      </c>
      <c r="BD25" s="23" t="n">
        <f aca="false">IF(BD16=TRUE(),-TotalCapEx/COUNTIF($H$16:$FK$16,TRUE()),0)</f>
        <v>0</v>
      </c>
      <c r="BE25" s="23" t="n">
        <f aca="false">IF(BE16=TRUE(),-TotalCapEx/COUNTIF($H$16:$FK$16,TRUE()),0)</f>
        <v>0</v>
      </c>
      <c r="BF25" s="23" t="n">
        <f aca="false">IF(BF16=TRUE(),-TotalCapEx/COUNTIF($H$16:$FK$16,TRUE()),0)</f>
        <v>0</v>
      </c>
      <c r="BG25" s="23" t="n">
        <f aca="false">IF(BG16=TRUE(),-TotalCapEx/COUNTIF($H$16:$FK$16,TRUE()),0)</f>
        <v>0</v>
      </c>
      <c r="BH25" s="23" t="n">
        <f aca="false">IF(BH16=TRUE(),-TotalCapEx/COUNTIF($H$16:$FK$16,TRUE()),0)</f>
        <v>0</v>
      </c>
      <c r="BI25" s="23" t="n">
        <f aca="false">IF(BI16=TRUE(),-TotalCapEx/COUNTIF($H$16:$FK$16,TRUE()),0)</f>
        <v>0</v>
      </c>
      <c r="BJ25" s="23" t="n">
        <f aca="false">IF(BJ16=TRUE(),-TotalCapEx/COUNTIF($H$16:$FK$16,TRUE()),0)</f>
        <v>0</v>
      </c>
      <c r="BK25" s="23" t="n">
        <f aca="false">IF(BK16=TRUE(),-TotalCapEx/COUNTIF($H$16:$FK$16,TRUE()),0)</f>
        <v>0</v>
      </c>
      <c r="BL25" s="23" t="n">
        <f aca="false">IF(BL16=TRUE(),-TotalCapEx/COUNTIF($H$16:$FK$16,TRUE()),0)</f>
        <v>0</v>
      </c>
      <c r="BM25" s="23" t="n">
        <f aca="false">IF(BM16=TRUE(),-TotalCapEx/COUNTIF($H$16:$FK$16,TRUE()),0)</f>
        <v>0</v>
      </c>
      <c r="BN25" s="23" t="n">
        <f aca="false">IF(BN16=TRUE(),-TotalCapEx/COUNTIF($H$16:$FK$16,TRUE()),0)</f>
        <v>0</v>
      </c>
      <c r="BO25" s="23" t="n">
        <f aca="false">IF(BO16=TRUE(),-TotalCapEx/COUNTIF($H$16:$FK$16,TRUE()),0)</f>
        <v>0</v>
      </c>
      <c r="BP25" s="23" t="n">
        <f aca="false">IF(BP16=TRUE(),-TotalCapEx/COUNTIF($H$16:$FK$16,TRUE()),0)</f>
        <v>0</v>
      </c>
      <c r="BQ25" s="23" t="n">
        <f aca="false">IF(BQ16=TRUE(),-TotalCapEx/COUNTIF($H$16:$FK$16,TRUE()),0)</f>
        <v>0</v>
      </c>
      <c r="BR25" s="23" t="n">
        <f aca="false">IF(BR16=TRUE(),-TotalCapEx/COUNTIF($H$16:$FK$16,TRUE()),0)</f>
        <v>0</v>
      </c>
      <c r="BS25" s="23" t="n">
        <f aca="false">IF(BS16=TRUE(),-TotalCapEx/COUNTIF($H$16:$FK$16,TRUE()),0)</f>
        <v>0</v>
      </c>
      <c r="BT25" s="23" t="n">
        <f aca="false">IF(BT16=TRUE(),-TotalCapEx/COUNTIF($H$16:$FK$16,TRUE()),0)</f>
        <v>0</v>
      </c>
      <c r="BU25" s="23" t="n">
        <f aca="false">IF(BU16=TRUE(),-TotalCapEx/COUNTIF($H$16:$FK$16,TRUE()),0)</f>
        <v>0</v>
      </c>
      <c r="BV25" s="23" t="n">
        <f aca="false">IF(BV16=TRUE(),-TotalCapEx/COUNTIF($H$16:$FK$16,TRUE()),0)</f>
        <v>0</v>
      </c>
      <c r="BW25" s="23" t="n">
        <f aca="false">IF(BW16=TRUE(),-TotalCapEx/COUNTIF($H$16:$FK$16,TRUE()),0)</f>
        <v>0</v>
      </c>
      <c r="BX25" s="23" t="n">
        <f aca="false">IF(BX16=TRUE(),-TotalCapEx/COUNTIF($H$16:$FK$16,TRUE()),0)</f>
        <v>0</v>
      </c>
      <c r="BY25" s="23" t="n">
        <f aca="false">IF(BY16=TRUE(),-TotalCapEx/COUNTIF($H$16:$FK$16,TRUE()),0)</f>
        <v>0</v>
      </c>
      <c r="BZ25" s="23" t="n">
        <f aca="false">IF(BZ16=TRUE(),-TotalCapEx/COUNTIF($H$16:$FK$16,TRUE()),0)</f>
        <v>0</v>
      </c>
      <c r="CA25" s="23" t="n">
        <f aca="false">IF(CA16=TRUE(),-TotalCapEx/COUNTIF($H$16:$FK$16,TRUE()),0)</f>
        <v>0</v>
      </c>
      <c r="CB25" s="23" t="n">
        <f aca="false">IF(CB16=TRUE(),-TotalCapEx/COUNTIF($H$16:$FK$16,TRUE()),0)</f>
        <v>0</v>
      </c>
      <c r="CC25" s="23" t="n">
        <f aca="false">IF(CC16=TRUE(),-TotalCapEx/COUNTIF($H$16:$FK$16,TRUE()),0)</f>
        <v>0</v>
      </c>
      <c r="CD25" s="23" t="n">
        <f aca="false">IF(CD16=TRUE(),-TotalCapEx/COUNTIF($H$16:$FK$16,TRUE()),0)</f>
        <v>0</v>
      </c>
      <c r="CE25" s="23" t="n">
        <f aca="false">IF(CE16=TRUE(),-TotalCapEx/COUNTIF($H$16:$FK$16,TRUE()),0)</f>
        <v>0</v>
      </c>
      <c r="CF25" s="23" t="n">
        <f aca="false">IF(CF16=TRUE(),-TotalCapEx/COUNTIF($H$16:$FK$16,TRUE()),0)</f>
        <v>0</v>
      </c>
      <c r="CG25" s="23" t="n">
        <f aca="false">IF(CG16=TRUE(),-TotalCapEx/COUNTIF($H$16:$FK$16,TRUE()),0)</f>
        <v>0</v>
      </c>
      <c r="CH25" s="23" t="n">
        <f aca="false">IF(CH16=TRUE(),-TotalCapEx/COUNTIF($H$16:$FK$16,TRUE()),0)</f>
        <v>0</v>
      </c>
      <c r="CI25" s="23" t="n">
        <f aca="false">IF(CI16=TRUE(),-TotalCapEx/COUNTIF($H$16:$FK$16,TRUE()),0)</f>
        <v>0</v>
      </c>
      <c r="CJ25" s="23" t="n">
        <f aca="false">IF(CJ16=TRUE(),-TotalCapEx/COUNTIF($H$16:$FK$16,TRUE()),0)</f>
        <v>0</v>
      </c>
      <c r="CK25" s="23" t="n">
        <f aca="false">IF(CK16=TRUE(),-TotalCapEx/COUNTIF($H$16:$FK$16,TRUE()),0)</f>
        <v>0</v>
      </c>
      <c r="CL25" s="23" t="n">
        <f aca="false">IF(CL16=TRUE(),-TotalCapEx/COUNTIF($H$16:$FK$16,TRUE()),0)</f>
        <v>0</v>
      </c>
      <c r="CM25" s="23" t="n">
        <f aca="false">IF(CM16=TRUE(),-TotalCapEx/COUNTIF($H$16:$FK$16,TRUE()),0)</f>
        <v>0</v>
      </c>
      <c r="CN25" s="23" t="n">
        <f aca="false">IF(CN16=TRUE(),-TotalCapEx/COUNTIF($H$16:$FK$16,TRUE()),0)</f>
        <v>0</v>
      </c>
      <c r="CO25" s="23" t="n">
        <f aca="false">IF(CO16=TRUE(),-TotalCapEx/COUNTIF($H$16:$FK$16,TRUE()),0)</f>
        <v>0</v>
      </c>
      <c r="CP25" s="23" t="n">
        <f aca="false">IF(CP16=TRUE(),-TotalCapEx/COUNTIF($H$16:$FK$16,TRUE()),0)</f>
        <v>0</v>
      </c>
      <c r="CQ25" s="23" t="n">
        <f aca="false">IF(CQ16=TRUE(),-TotalCapEx/COUNTIF($H$16:$FK$16,TRUE()),0)</f>
        <v>0</v>
      </c>
      <c r="CR25" s="23" t="n">
        <f aca="false">IF(CR16=TRUE(),-TotalCapEx/COUNTIF($H$16:$FK$16,TRUE()),0)</f>
        <v>0</v>
      </c>
      <c r="CS25" s="23" t="n">
        <f aca="false">IF(CS16=TRUE(),-TotalCapEx/COUNTIF($H$16:$FK$16,TRUE()),0)</f>
        <v>0</v>
      </c>
      <c r="CT25" s="23" t="n">
        <f aca="false">IF(CT16=TRUE(),-TotalCapEx/COUNTIF($H$16:$FK$16,TRUE()),0)</f>
        <v>0</v>
      </c>
      <c r="CU25" s="23" t="n">
        <f aca="false">IF(CU16=TRUE(),-TotalCapEx/COUNTIF($H$16:$FK$16,TRUE()),0)</f>
        <v>0</v>
      </c>
      <c r="CV25" s="23" t="n">
        <f aca="false">IF(CV16=TRUE(),-TotalCapEx/COUNTIF($H$16:$FK$16,TRUE()),0)</f>
        <v>0</v>
      </c>
      <c r="CW25" s="23" t="n">
        <f aca="false">IF(CW16=TRUE(),-TotalCapEx/COUNTIF($H$16:$FK$16,TRUE()),0)</f>
        <v>0</v>
      </c>
      <c r="CX25" s="23" t="n">
        <f aca="false">IF(CX16=TRUE(),-TotalCapEx/COUNTIF($H$16:$FK$16,TRUE()),0)</f>
        <v>0</v>
      </c>
      <c r="CY25" s="23" t="n">
        <f aca="false">IF(CY16=TRUE(),-TotalCapEx/COUNTIF($H$16:$FK$16,TRUE()),0)</f>
        <v>0</v>
      </c>
      <c r="CZ25" s="23" t="n">
        <f aca="false">IF(CZ16=TRUE(),-TotalCapEx/COUNTIF($H$16:$FK$16,TRUE()),0)</f>
        <v>0</v>
      </c>
      <c r="DA25" s="23" t="n">
        <f aca="false">IF(DA16=TRUE(),-TotalCapEx/COUNTIF($H$16:$FK$16,TRUE()),0)</f>
        <v>0</v>
      </c>
      <c r="DB25" s="23" t="n">
        <f aca="false">IF(DB16=TRUE(),-TotalCapEx/COUNTIF($H$16:$FK$16,TRUE()),0)</f>
        <v>0</v>
      </c>
      <c r="DC25" s="23" t="n">
        <f aca="false">IF(DC16=TRUE(),-TotalCapEx/COUNTIF($H$16:$FK$16,TRUE()),0)</f>
        <v>0</v>
      </c>
      <c r="DD25" s="23" t="n">
        <f aca="false">IF(DD16=TRUE(),-TotalCapEx/COUNTIF($H$16:$FK$16,TRUE()),0)</f>
        <v>0</v>
      </c>
      <c r="DE25" s="23" t="n">
        <f aca="false">IF(DE16=TRUE(),-TotalCapEx/COUNTIF($H$16:$FK$16,TRUE()),0)</f>
        <v>0</v>
      </c>
      <c r="DF25" s="23" t="n">
        <f aca="false">IF(DF16=TRUE(),-TotalCapEx/COUNTIF($H$16:$FK$16,TRUE()),0)</f>
        <v>0</v>
      </c>
      <c r="DG25" s="23" t="n">
        <f aca="false">IF(DG16=TRUE(),-TotalCapEx/COUNTIF($H$16:$FK$16,TRUE()),0)</f>
        <v>0</v>
      </c>
      <c r="DH25" s="23" t="n">
        <f aca="false">IF(DH16=TRUE(),-TotalCapEx/COUNTIF($H$16:$FK$16,TRUE()),0)</f>
        <v>0</v>
      </c>
      <c r="DI25" s="23" t="n">
        <f aca="false">IF(DI16=TRUE(),-TotalCapEx/COUNTIF($H$16:$FK$16,TRUE()),0)</f>
        <v>0</v>
      </c>
      <c r="DJ25" s="23" t="n">
        <f aca="false">IF(DJ16=TRUE(),-TotalCapEx/COUNTIF($H$16:$FK$16,TRUE()),0)</f>
        <v>0</v>
      </c>
      <c r="DK25" s="23" t="n">
        <f aca="false">IF(DK16=TRUE(),-TotalCapEx/COUNTIF($H$16:$FK$16,TRUE()),0)</f>
        <v>0</v>
      </c>
      <c r="DL25" s="23" t="n">
        <f aca="false">IF(DL16=TRUE(),-TotalCapEx/COUNTIF($H$16:$FK$16,TRUE()),0)</f>
        <v>0</v>
      </c>
      <c r="DM25" s="23" t="n">
        <f aca="false">IF(DM16=TRUE(),-TotalCapEx/COUNTIF($H$16:$FK$16,TRUE()),0)</f>
        <v>0</v>
      </c>
      <c r="DN25" s="23" t="n">
        <f aca="false">IF(DN16=TRUE(),-TotalCapEx/COUNTIF($H$16:$FK$16,TRUE()),0)</f>
        <v>0</v>
      </c>
      <c r="DO25" s="23" t="n">
        <f aca="false">IF(DO16=TRUE(),-TotalCapEx/COUNTIF($H$16:$FK$16,TRUE()),0)</f>
        <v>0</v>
      </c>
      <c r="DP25" s="23" t="n">
        <f aca="false">IF(DP16=TRUE(),-TotalCapEx/COUNTIF($H$16:$FK$16,TRUE()),0)</f>
        <v>0</v>
      </c>
      <c r="DQ25" s="23" t="n">
        <f aca="false">IF(DQ16=TRUE(),-TotalCapEx/COUNTIF($H$16:$FK$16,TRUE()),0)</f>
        <v>0</v>
      </c>
      <c r="DR25" s="23" t="n">
        <f aca="false">IF(DR16=TRUE(),-TotalCapEx/COUNTIF($H$16:$FK$16,TRUE()),0)</f>
        <v>0</v>
      </c>
      <c r="DS25" s="23" t="n">
        <f aca="false">IF(DS16=TRUE(),-TotalCapEx/COUNTIF($H$16:$FK$16,TRUE()),0)</f>
        <v>0</v>
      </c>
      <c r="DT25" s="23" t="n">
        <f aca="false">IF(DT16=TRUE(),-TotalCapEx/COUNTIF($H$16:$FK$16,TRUE()),0)</f>
        <v>0</v>
      </c>
      <c r="DU25" s="23" t="n">
        <f aca="false">IF(DU16=TRUE(),-TotalCapEx/COUNTIF($H$16:$FK$16,TRUE()),0)</f>
        <v>0</v>
      </c>
      <c r="DV25" s="23" t="n">
        <f aca="false">IF(DV16=TRUE(),-TotalCapEx/COUNTIF($H$16:$FK$16,TRUE()),0)</f>
        <v>0</v>
      </c>
      <c r="DW25" s="23" t="n">
        <f aca="false">IF(DW16=TRUE(),-TotalCapEx/COUNTIF($H$16:$FK$16,TRUE()),0)</f>
        <v>0</v>
      </c>
      <c r="DX25" s="23" t="n">
        <f aca="false">IF(DX16=TRUE(),-TotalCapEx/COUNTIF($H$16:$FK$16,TRUE()),0)</f>
        <v>0</v>
      </c>
      <c r="DY25" s="23" t="n">
        <f aca="false">IF(DY16=TRUE(),-TotalCapEx/COUNTIF($H$16:$FK$16,TRUE()),0)</f>
        <v>0</v>
      </c>
      <c r="DZ25" s="23" t="n">
        <f aca="false">IF(DZ16=TRUE(),-TotalCapEx/COUNTIF($H$16:$FK$16,TRUE()),0)</f>
        <v>0</v>
      </c>
      <c r="EA25" s="23" t="n">
        <f aca="false">IF(EA16=TRUE(),-TotalCapEx/COUNTIF($H$16:$FK$16,TRUE()),0)</f>
        <v>0</v>
      </c>
      <c r="EB25" s="23" t="n">
        <f aca="false">IF(EB16=TRUE(),-TotalCapEx/COUNTIF($H$16:$FK$16,TRUE()),0)</f>
        <v>0</v>
      </c>
      <c r="EC25" s="23" t="n">
        <f aca="false">IF(EC16=TRUE(),-TotalCapEx/COUNTIF($H$16:$FK$16,TRUE()),0)</f>
        <v>0</v>
      </c>
      <c r="ED25" s="23" t="n">
        <f aca="false">IF(ED16=TRUE(),-TotalCapEx/COUNTIF($H$16:$FK$16,TRUE()),0)</f>
        <v>0</v>
      </c>
      <c r="EE25" s="23" t="n">
        <f aca="false">IF(EE16=TRUE(),-TotalCapEx/COUNTIF($H$16:$FK$16,TRUE()),0)</f>
        <v>0</v>
      </c>
      <c r="EF25" s="23" t="n">
        <f aca="false">IF(EF16=TRUE(),-TotalCapEx/COUNTIF($H$16:$FK$16,TRUE()),0)</f>
        <v>0</v>
      </c>
      <c r="EG25" s="23" t="n">
        <f aca="false">IF(EG16=TRUE(),-TotalCapEx/COUNTIF($H$16:$FK$16,TRUE()),0)</f>
        <v>0</v>
      </c>
      <c r="EH25" s="23" t="n">
        <f aca="false">IF(EH16=TRUE(),-TotalCapEx/COUNTIF($H$16:$FK$16,TRUE()),0)</f>
        <v>0</v>
      </c>
      <c r="EI25" s="23" t="n">
        <f aca="false">IF(EI16=TRUE(),-TotalCapEx/COUNTIF($H$16:$FK$16,TRUE()),0)</f>
        <v>0</v>
      </c>
      <c r="EJ25" s="23" t="n">
        <f aca="false">IF(EJ16=TRUE(),-TotalCapEx/COUNTIF($H$16:$FK$16,TRUE()),0)</f>
        <v>0</v>
      </c>
      <c r="EK25" s="23" t="n">
        <f aca="false">IF(EK16=TRUE(),-TotalCapEx/COUNTIF($H$16:$FK$16,TRUE()),0)</f>
        <v>0</v>
      </c>
      <c r="EL25" s="23" t="n">
        <f aca="false">IF(EL16=TRUE(),-TotalCapEx/COUNTIF($H$16:$FK$16,TRUE()),0)</f>
        <v>0</v>
      </c>
      <c r="EM25" s="23" t="n">
        <f aca="false">IF(EM16=TRUE(),-TotalCapEx/COUNTIF($H$16:$FK$16,TRUE()),0)</f>
        <v>0</v>
      </c>
      <c r="EN25" s="23" t="n">
        <f aca="false">IF(EN16=TRUE(),-TotalCapEx/COUNTIF($H$16:$FK$16,TRUE()),0)</f>
        <v>0</v>
      </c>
      <c r="EO25" s="23" t="n">
        <f aca="false">IF(EO16=TRUE(),-TotalCapEx/COUNTIF($H$16:$FK$16,TRUE()),0)</f>
        <v>0</v>
      </c>
      <c r="EP25" s="23" t="n">
        <f aca="false">IF(EP16=TRUE(),-TotalCapEx/COUNTIF($H$16:$FK$16,TRUE()),0)</f>
        <v>0</v>
      </c>
      <c r="EQ25" s="23" t="n">
        <f aca="false">IF(EQ16=TRUE(),-TotalCapEx/COUNTIF($H$16:$FK$16,TRUE()),0)</f>
        <v>0</v>
      </c>
      <c r="ER25" s="23" t="n">
        <f aca="false">IF(ER16=TRUE(),-TotalCapEx/COUNTIF($H$16:$FK$16,TRUE()),0)</f>
        <v>0</v>
      </c>
      <c r="ES25" s="23" t="n">
        <f aca="false">IF(ES16=TRUE(),-TotalCapEx/COUNTIF($H$16:$FK$16,TRUE()),0)</f>
        <v>0</v>
      </c>
      <c r="ET25" s="23" t="n">
        <f aca="false">IF(ET16=TRUE(),-TotalCapEx/COUNTIF($H$16:$FK$16,TRUE()),0)</f>
        <v>0</v>
      </c>
      <c r="EU25" s="23" t="n">
        <f aca="false">IF(EU16=TRUE(),-TotalCapEx/COUNTIF($H$16:$FK$16,TRUE()),0)</f>
        <v>0</v>
      </c>
      <c r="EV25" s="23" t="n">
        <f aca="false">IF(EV16=TRUE(),-TotalCapEx/COUNTIF($H$16:$FK$16,TRUE()),0)</f>
        <v>0</v>
      </c>
      <c r="EW25" s="23" t="n">
        <f aca="false">IF(EW16=TRUE(),-TotalCapEx/COUNTIF($H$16:$FK$16,TRUE()),0)</f>
        <v>0</v>
      </c>
      <c r="EX25" s="23" t="n">
        <f aca="false">IF(EX16=TRUE(),-TotalCapEx/COUNTIF($H$16:$FK$16,TRUE()),0)</f>
        <v>0</v>
      </c>
      <c r="EY25" s="23" t="n">
        <f aca="false">IF(EY16=TRUE(),-TotalCapEx/COUNTIF($H$16:$FK$16,TRUE()),0)</f>
        <v>0</v>
      </c>
      <c r="EZ25" s="23" t="n">
        <f aca="false">IF(EZ16=TRUE(),-TotalCapEx/COUNTIF($H$16:$FK$16,TRUE()),0)</f>
        <v>0</v>
      </c>
      <c r="FA25" s="23" t="n">
        <f aca="false">IF(FA16=TRUE(),-TotalCapEx/COUNTIF($H$16:$FK$16,TRUE()),0)</f>
        <v>0</v>
      </c>
      <c r="FB25" s="23" t="n">
        <f aca="false">IF(FB16=TRUE(),-TotalCapEx/COUNTIF($H$16:$FK$16,TRUE()),0)</f>
        <v>0</v>
      </c>
      <c r="FC25" s="23" t="n">
        <f aca="false">IF(FC16=TRUE(),-TotalCapEx/COUNTIF($H$16:$FK$16,TRUE()),0)</f>
        <v>0</v>
      </c>
      <c r="FD25" s="23" t="n">
        <f aca="false">IF(FD16=TRUE(),-TotalCapEx/COUNTIF($H$16:$FK$16,TRUE()),0)</f>
        <v>0</v>
      </c>
      <c r="FE25" s="23" t="n">
        <f aca="false">IF(FE16=TRUE(),-TotalCapEx/COUNTIF($H$16:$FK$16,TRUE()),0)</f>
        <v>0</v>
      </c>
      <c r="FF25" s="23" t="n">
        <f aca="false">IF(FF16=TRUE(),-TotalCapEx/COUNTIF($H$16:$FK$16,TRUE()),0)</f>
        <v>0</v>
      </c>
      <c r="FG25" s="23" t="n">
        <f aca="false">IF(FG16=TRUE(),-TotalCapEx/COUNTIF($H$16:$FK$16,TRUE()),0)</f>
        <v>0</v>
      </c>
      <c r="FH25" s="23" t="n">
        <f aca="false">IF(FH16=TRUE(),-TotalCapEx/COUNTIF($H$16:$FK$16,TRUE()),0)</f>
        <v>0</v>
      </c>
      <c r="FI25" s="23" t="n">
        <f aca="false">IF(FI16=TRUE(),-TotalCapEx/COUNTIF($H$16:$FK$16,TRUE()),0)</f>
        <v>0</v>
      </c>
      <c r="FJ25" s="23" t="n">
        <f aca="false">IF(FJ16=TRUE(),-TotalCapEx/COUNTIF($H$16:$FK$16,TRUE()),0)</f>
        <v>0</v>
      </c>
      <c r="FK25" s="23" t="n">
        <f aca="false">IF(FK16=TRUE(),-TotalCapEx/COUNTIF($H$16:$FK$16,TRUE()),0)</f>
        <v>0</v>
      </c>
    </row>
    <row r="26" customFormat="false" ht="15" hidden="false" customHeight="true" outlineLevel="0" collapsed="false">
      <c r="D26" s="21" t="s">
        <v>74</v>
      </c>
      <c r="E26" s="7" t="s">
        <v>28</v>
      </c>
      <c r="F26" s="22" t="n">
        <f aca="false">SUM(H26:FK26)</f>
        <v>180000000</v>
      </c>
      <c r="H26" s="23" t="n">
        <f aca="false">IF(H16=TRUE(),TotalCapEx*(1-DebtPct)/COUNTIF($H$16:$FK$16,TRUE()),0)</f>
        <v>45000000</v>
      </c>
      <c r="I26" s="23" t="n">
        <f aca="false">IF(I16=TRUE(),TotalCapEx*(1-DebtPct)/COUNTIF($H$16:$FK$16,TRUE()),0)</f>
        <v>45000000</v>
      </c>
      <c r="J26" s="23" t="n">
        <f aca="false">IF(J16=TRUE(),TotalCapEx*(1-DebtPct)/COUNTIF($H$16:$FK$16,TRUE()),0)</f>
        <v>45000000</v>
      </c>
      <c r="K26" s="23" t="n">
        <f aca="false">IF(K16=TRUE(),TotalCapEx*(1-DebtPct)/COUNTIF($H$16:$FK$16,TRUE()),0)</f>
        <v>45000000</v>
      </c>
      <c r="L26" s="23" t="n">
        <f aca="false">IF(L16=TRUE(),TotalCapEx*(1-DebtPct)/COUNTIF($H$16:$FK$16,TRUE()),0)</f>
        <v>0</v>
      </c>
      <c r="M26" s="23" t="n">
        <f aca="false">IF(M16=TRUE(),TotalCapEx*(1-DebtPct)/COUNTIF($H$16:$FK$16,TRUE()),0)</f>
        <v>0</v>
      </c>
      <c r="N26" s="23" t="n">
        <f aca="false">IF(N16=TRUE(),TotalCapEx*(1-DebtPct)/COUNTIF($H$16:$FK$16,TRUE()),0)</f>
        <v>0</v>
      </c>
      <c r="O26" s="23" t="n">
        <f aca="false">IF(O16=TRUE(),TotalCapEx*(1-DebtPct)/COUNTIF($H$16:$FK$16,TRUE()),0)</f>
        <v>0</v>
      </c>
      <c r="P26" s="23" t="n">
        <f aca="false">IF(P16=TRUE(),TotalCapEx*(1-DebtPct)/COUNTIF($H$16:$FK$16,TRUE()),0)</f>
        <v>0</v>
      </c>
      <c r="Q26" s="23" t="n">
        <f aca="false">IF(Q16=TRUE(),TotalCapEx*(1-DebtPct)/COUNTIF($H$16:$FK$16,TRUE()),0)</f>
        <v>0</v>
      </c>
      <c r="R26" s="23" t="n">
        <f aca="false">IF(R16=TRUE(),TotalCapEx*(1-DebtPct)/COUNTIF($H$16:$FK$16,TRUE()),0)</f>
        <v>0</v>
      </c>
      <c r="S26" s="23" t="n">
        <f aca="false">IF(S16=TRUE(),TotalCapEx*(1-DebtPct)/COUNTIF($H$16:$FK$16,TRUE()),0)</f>
        <v>0</v>
      </c>
      <c r="T26" s="23" t="n">
        <f aca="false">IF(T16=TRUE(),TotalCapEx*(1-DebtPct)/COUNTIF($H$16:$FK$16,TRUE()),0)</f>
        <v>0</v>
      </c>
      <c r="U26" s="23" t="n">
        <f aca="false">IF(U16=TRUE(),TotalCapEx*(1-DebtPct)/COUNTIF($H$16:$FK$16,TRUE()),0)</f>
        <v>0</v>
      </c>
      <c r="V26" s="23" t="n">
        <f aca="false">IF(V16=TRUE(),TotalCapEx*(1-DebtPct)/COUNTIF($H$16:$FK$16,TRUE()),0)</f>
        <v>0</v>
      </c>
      <c r="W26" s="23" t="n">
        <f aca="false">IF(W16=TRUE(),TotalCapEx*(1-DebtPct)/COUNTIF($H$16:$FK$16,TRUE()),0)</f>
        <v>0</v>
      </c>
      <c r="X26" s="23" t="n">
        <f aca="false">IF(X16=TRUE(),TotalCapEx*(1-DebtPct)/COUNTIF($H$16:$FK$16,TRUE()),0)</f>
        <v>0</v>
      </c>
      <c r="Y26" s="23" t="n">
        <f aca="false">IF(Y16=TRUE(),TotalCapEx*(1-DebtPct)/COUNTIF($H$16:$FK$16,TRUE()),0)</f>
        <v>0</v>
      </c>
      <c r="Z26" s="23" t="n">
        <f aca="false">IF(Z16=TRUE(),TotalCapEx*(1-DebtPct)/COUNTIF($H$16:$FK$16,TRUE()),0)</f>
        <v>0</v>
      </c>
      <c r="AA26" s="23" t="n">
        <f aca="false">IF(AA16=TRUE(),TotalCapEx*(1-DebtPct)/COUNTIF($H$16:$FK$16,TRUE()),0)</f>
        <v>0</v>
      </c>
      <c r="AB26" s="23" t="n">
        <f aca="false">IF(AB16=TRUE(),TotalCapEx*(1-DebtPct)/COUNTIF($H$16:$FK$16,TRUE()),0)</f>
        <v>0</v>
      </c>
      <c r="AC26" s="23" t="n">
        <f aca="false">IF(AC16=TRUE(),TotalCapEx*(1-DebtPct)/COUNTIF($H$16:$FK$16,TRUE()),0)</f>
        <v>0</v>
      </c>
      <c r="AD26" s="23" t="n">
        <f aca="false">IF(AD16=TRUE(),TotalCapEx*(1-DebtPct)/COUNTIF($H$16:$FK$16,TRUE()),0)</f>
        <v>0</v>
      </c>
      <c r="AE26" s="23" t="n">
        <f aca="false">IF(AE16=TRUE(),TotalCapEx*(1-DebtPct)/COUNTIF($H$16:$FK$16,TRUE()),0)</f>
        <v>0</v>
      </c>
      <c r="AF26" s="23" t="n">
        <f aca="false">IF(AF16=TRUE(),TotalCapEx*(1-DebtPct)/COUNTIF($H$16:$FK$16,TRUE()),0)</f>
        <v>0</v>
      </c>
      <c r="AG26" s="23" t="n">
        <f aca="false">IF(AG16=TRUE(),TotalCapEx*(1-DebtPct)/COUNTIF($H$16:$FK$16,TRUE()),0)</f>
        <v>0</v>
      </c>
      <c r="AH26" s="23" t="n">
        <f aca="false">IF(AH16=TRUE(),TotalCapEx*(1-DebtPct)/COUNTIF($H$16:$FK$16,TRUE()),0)</f>
        <v>0</v>
      </c>
      <c r="AI26" s="23" t="n">
        <f aca="false">IF(AI16=TRUE(),TotalCapEx*(1-DebtPct)/COUNTIF($H$16:$FK$16,TRUE()),0)</f>
        <v>0</v>
      </c>
      <c r="AJ26" s="23" t="n">
        <f aca="false">IF(AJ16=TRUE(),TotalCapEx*(1-DebtPct)/COUNTIF($H$16:$FK$16,TRUE()),0)</f>
        <v>0</v>
      </c>
      <c r="AK26" s="23" t="n">
        <f aca="false">IF(AK16=TRUE(),TotalCapEx*(1-DebtPct)/COUNTIF($H$16:$FK$16,TRUE()),0)</f>
        <v>0</v>
      </c>
      <c r="AL26" s="23" t="n">
        <f aca="false">IF(AL16=TRUE(),TotalCapEx*(1-DebtPct)/COUNTIF($H$16:$FK$16,TRUE()),0)</f>
        <v>0</v>
      </c>
      <c r="AM26" s="23" t="n">
        <f aca="false">IF(AM16=TRUE(),TotalCapEx*(1-DebtPct)/COUNTIF($H$16:$FK$16,TRUE()),0)</f>
        <v>0</v>
      </c>
      <c r="AN26" s="23" t="n">
        <f aca="false">IF(AN16=TRUE(),TotalCapEx*(1-DebtPct)/COUNTIF($H$16:$FK$16,TRUE()),0)</f>
        <v>0</v>
      </c>
      <c r="AO26" s="23" t="n">
        <f aca="false">IF(AO16=TRUE(),TotalCapEx*(1-DebtPct)/COUNTIF($H$16:$FK$16,TRUE()),0)</f>
        <v>0</v>
      </c>
      <c r="AP26" s="23" t="n">
        <f aca="false">IF(AP16=TRUE(),TotalCapEx*(1-DebtPct)/COUNTIF($H$16:$FK$16,TRUE()),0)</f>
        <v>0</v>
      </c>
      <c r="AQ26" s="23" t="n">
        <f aca="false">IF(AQ16=TRUE(),TotalCapEx*(1-DebtPct)/COUNTIF($H$16:$FK$16,TRUE()),0)</f>
        <v>0</v>
      </c>
      <c r="AR26" s="23" t="n">
        <f aca="false">IF(AR16=TRUE(),TotalCapEx*(1-DebtPct)/COUNTIF($H$16:$FK$16,TRUE()),0)</f>
        <v>0</v>
      </c>
      <c r="AS26" s="23" t="n">
        <f aca="false">IF(AS16=TRUE(),TotalCapEx*(1-DebtPct)/COUNTIF($H$16:$FK$16,TRUE()),0)</f>
        <v>0</v>
      </c>
      <c r="AT26" s="23" t="n">
        <f aca="false">IF(AT16=TRUE(),TotalCapEx*(1-DebtPct)/COUNTIF($H$16:$FK$16,TRUE()),0)</f>
        <v>0</v>
      </c>
      <c r="AU26" s="23" t="n">
        <f aca="false">IF(AU16=TRUE(),TotalCapEx*(1-DebtPct)/COUNTIF($H$16:$FK$16,TRUE()),0)</f>
        <v>0</v>
      </c>
      <c r="AV26" s="23" t="n">
        <f aca="false">IF(AV16=TRUE(),TotalCapEx*(1-DebtPct)/COUNTIF($H$16:$FK$16,TRUE()),0)</f>
        <v>0</v>
      </c>
      <c r="AW26" s="23" t="n">
        <f aca="false">IF(AW16=TRUE(),TotalCapEx*(1-DebtPct)/COUNTIF($H$16:$FK$16,TRUE()),0)</f>
        <v>0</v>
      </c>
      <c r="AX26" s="23" t="n">
        <f aca="false">IF(AX16=TRUE(),TotalCapEx*(1-DebtPct)/COUNTIF($H$16:$FK$16,TRUE()),0)</f>
        <v>0</v>
      </c>
      <c r="AY26" s="23" t="n">
        <f aca="false">IF(AY16=TRUE(),TotalCapEx*(1-DebtPct)/COUNTIF($H$16:$FK$16,TRUE()),0)</f>
        <v>0</v>
      </c>
      <c r="AZ26" s="23" t="n">
        <f aca="false">IF(AZ16=TRUE(),TotalCapEx*(1-DebtPct)/COUNTIF($H$16:$FK$16,TRUE()),0)</f>
        <v>0</v>
      </c>
      <c r="BA26" s="23" t="n">
        <f aca="false">IF(BA16=TRUE(),TotalCapEx*(1-DebtPct)/COUNTIF($H$16:$FK$16,TRUE()),0)</f>
        <v>0</v>
      </c>
      <c r="BB26" s="23" t="n">
        <f aca="false">IF(BB16=TRUE(),TotalCapEx*(1-DebtPct)/COUNTIF($H$16:$FK$16,TRUE()),0)</f>
        <v>0</v>
      </c>
      <c r="BC26" s="23" t="n">
        <f aca="false">IF(BC16=TRUE(),TotalCapEx*(1-DebtPct)/COUNTIF($H$16:$FK$16,TRUE()),0)</f>
        <v>0</v>
      </c>
      <c r="BD26" s="23" t="n">
        <f aca="false">IF(BD16=TRUE(),TotalCapEx*(1-DebtPct)/COUNTIF($H$16:$FK$16,TRUE()),0)</f>
        <v>0</v>
      </c>
      <c r="BE26" s="23" t="n">
        <f aca="false">IF(BE16=TRUE(),TotalCapEx*(1-DebtPct)/COUNTIF($H$16:$FK$16,TRUE()),0)</f>
        <v>0</v>
      </c>
      <c r="BF26" s="23" t="n">
        <f aca="false">IF(BF16=TRUE(),TotalCapEx*(1-DebtPct)/COUNTIF($H$16:$FK$16,TRUE()),0)</f>
        <v>0</v>
      </c>
      <c r="BG26" s="23" t="n">
        <f aca="false">IF(BG16=TRUE(),TotalCapEx*(1-DebtPct)/COUNTIF($H$16:$FK$16,TRUE()),0)</f>
        <v>0</v>
      </c>
      <c r="BH26" s="23" t="n">
        <f aca="false">IF(BH16=TRUE(),TotalCapEx*(1-DebtPct)/COUNTIF($H$16:$FK$16,TRUE()),0)</f>
        <v>0</v>
      </c>
      <c r="BI26" s="23" t="n">
        <f aca="false">IF(BI16=TRUE(),TotalCapEx*(1-DebtPct)/COUNTIF($H$16:$FK$16,TRUE()),0)</f>
        <v>0</v>
      </c>
      <c r="BJ26" s="23" t="n">
        <f aca="false">IF(BJ16=TRUE(),TotalCapEx*(1-DebtPct)/COUNTIF($H$16:$FK$16,TRUE()),0)</f>
        <v>0</v>
      </c>
      <c r="BK26" s="23" t="n">
        <f aca="false">IF(BK16=TRUE(),TotalCapEx*(1-DebtPct)/COUNTIF($H$16:$FK$16,TRUE()),0)</f>
        <v>0</v>
      </c>
      <c r="BL26" s="23" t="n">
        <f aca="false">IF(BL16=TRUE(),TotalCapEx*(1-DebtPct)/COUNTIF($H$16:$FK$16,TRUE()),0)</f>
        <v>0</v>
      </c>
      <c r="BM26" s="23" t="n">
        <f aca="false">IF(BM16=TRUE(),TotalCapEx*(1-DebtPct)/COUNTIF($H$16:$FK$16,TRUE()),0)</f>
        <v>0</v>
      </c>
      <c r="BN26" s="23" t="n">
        <f aca="false">IF(BN16=TRUE(),TotalCapEx*(1-DebtPct)/COUNTIF($H$16:$FK$16,TRUE()),0)</f>
        <v>0</v>
      </c>
      <c r="BO26" s="23" t="n">
        <f aca="false">IF(BO16=TRUE(),TotalCapEx*(1-DebtPct)/COUNTIF($H$16:$FK$16,TRUE()),0)</f>
        <v>0</v>
      </c>
      <c r="BP26" s="23" t="n">
        <f aca="false">IF(BP16=TRUE(),TotalCapEx*(1-DebtPct)/COUNTIF($H$16:$FK$16,TRUE()),0)</f>
        <v>0</v>
      </c>
      <c r="BQ26" s="23" t="n">
        <f aca="false">IF(BQ16=TRUE(),TotalCapEx*(1-DebtPct)/COUNTIF($H$16:$FK$16,TRUE()),0)</f>
        <v>0</v>
      </c>
      <c r="BR26" s="23" t="n">
        <f aca="false">IF(BR16=TRUE(),TotalCapEx*(1-DebtPct)/COUNTIF($H$16:$FK$16,TRUE()),0)</f>
        <v>0</v>
      </c>
      <c r="BS26" s="23" t="n">
        <f aca="false">IF(BS16=TRUE(),TotalCapEx*(1-DebtPct)/COUNTIF($H$16:$FK$16,TRUE()),0)</f>
        <v>0</v>
      </c>
      <c r="BT26" s="23" t="n">
        <f aca="false">IF(BT16=TRUE(),TotalCapEx*(1-DebtPct)/COUNTIF($H$16:$FK$16,TRUE()),0)</f>
        <v>0</v>
      </c>
      <c r="BU26" s="23" t="n">
        <f aca="false">IF(BU16=TRUE(),TotalCapEx*(1-DebtPct)/COUNTIF($H$16:$FK$16,TRUE()),0)</f>
        <v>0</v>
      </c>
      <c r="BV26" s="23" t="n">
        <f aca="false">IF(BV16=TRUE(),TotalCapEx*(1-DebtPct)/COUNTIF($H$16:$FK$16,TRUE()),0)</f>
        <v>0</v>
      </c>
      <c r="BW26" s="23" t="n">
        <f aca="false">IF(BW16=TRUE(),TotalCapEx*(1-DebtPct)/COUNTIF($H$16:$FK$16,TRUE()),0)</f>
        <v>0</v>
      </c>
      <c r="BX26" s="23" t="n">
        <f aca="false">IF(BX16=TRUE(),TotalCapEx*(1-DebtPct)/COUNTIF($H$16:$FK$16,TRUE()),0)</f>
        <v>0</v>
      </c>
      <c r="BY26" s="23" t="n">
        <f aca="false">IF(BY16=TRUE(),TotalCapEx*(1-DebtPct)/COUNTIF($H$16:$FK$16,TRUE()),0)</f>
        <v>0</v>
      </c>
      <c r="BZ26" s="23" t="n">
        <f aca="false">IF(BZ16=TRUE(),TotalCapEx*(1-DebtPct)/COUNTIF($H$16:$FK$16,TRUE()),0)</f>
        <v>0</v>
      </c>
      <c r="CA26" s="23" t="n">
        <f aca="false">IF(CA16=TRUE(),TotalCapEx*(1-DebtPct)/COUNTIF($H$16:$FK$16,TRUE()),0)</f>
        <v>0</v>
      </c>
      <c r="CB26" s="23" t="n">
        <f aca="false">IF(CB16=TRUE(),TotalCapEx*(1-DebtPct)/COUNTIF($H$16:$FK$16,TRUE()),0)</f>
        <v>0</v>
      </c>
      <c r="CC26" s="23" t="n">
        <f aca="false">IF(CC16=TRUE(),TotalCapEx*(1-DebtPct)/COUNTIF($H$16:$FK$16,TRUE()),0)</f>
        <v>0</v>
      </c>
      <c r="CD26" s="23" t="n">
        <f aca="false">IF(CD16=TRUE(),TotalCapEx*(1-DebtPct)/COUNTIF($H$16:$FK$16,TRUE()),0)</f>
        <v>0</v>
      </c>
      <c r="CE26" s="23" t="n">
        <f aca="false">IF(CE16=TRUE(),TotalCapEx*(1-DebtPct)/COUNTIF($H$16:$FK$16,TRUE()),0)</f>
        <v>0</v>
      </c>
      <c r="CF26" s="23" t="n">
        <f aca="false">IF(CF16=TRUE(),TotalCapEx*(1-DebtPct)/COUNTIF($H$16:$FK$16,TRUE()),0)</f>
        <v>0</v>
      </c>
      <c r="CG26" s="23" t="n">
        <f aca="false">IF(CG16=TRUE(),TotalCapEx*(1-DebtPct)/COUNTIF($H$16:$FK$16,TRUE()),0)</f>
        <v>0</v>
      </c>
      <c r="CH26" s="23" t="n">
        <f aca="false">IF(CH16=TRUE(),TotalCapEx*(1-DebtPct)/COUNTIF($H$16:$FK$16,TRUE()),0)</f>
        <v>0</v>
      </c>
      <c r="CI26" s="23" t="n">
        <f aca="false">IF(CI16=TRUE(),TotalCapEx*(1-DebtPct)/COUNTIF($H$16:$FK$16,TRUE()),0)</f>
        <v>0</v>
      </c>
      <c r="CJ26" s="23" t="n">
        <f aca="false">IF(CJ16=TRUE(),TotalCapEx*(1-DebtPct)/COUNTIF($H$16:$FK$16,TRUE()),0)</f>
        <v>0</v>
      </c>
      <c r="CK26" s="23" t="n">
        <f aca="false">IF(CK16=TRUE(),TotalCapEx*(1-DebtPct)/COUNTIF($H$16:$FK$16,TRUE()),0)</f>
        <v>0</v>
      </c>
      <c r="CL26" s="23" t="n">
        <f aca="false">IF(CL16=TRUE(),TotalCapEx*(1-DebtPct)/COUNTIF($H$16:$FK$16,TRUE()),0)</f>
        <v>0</v>
      </c>
      <c r="CM26" s="23" t="n">
        <f aca="false">IF(CM16=TRUE(),TotalCapEx*(1-DebtPct)/COUNTIF($H$16:$FK$16,TRUE()),0)</f>
        <v>0</v>
      </c>
      <c r="CN26" s="23" t="n">
        <f aca="false">IF(CN16=TRUE(),TotalCapEx*(1-DebtPct)/COUNTIF($H$16:$FK$16,TRUE()),0)</f>
        <v>0</v>
      </c>
      <c r="CO26" s="23" t="n">
        <f aca="false">IF(CO16=TRUE(),TotalCapEx*(1-DebtPct)/COUNTIF($H$16:$FK$16,TRUE()),0)</f>
        <v>0</v>
      </c>
      <c r="CP26" s="23" t="n">
        <f aca="false">IF(CP16=TRUE(),TotalCapEx*(1-DebtPct)/COUNTIF($H$16:$FK$16,TRUE()),0)</f>
        <v>0</v>
      </c>
      <c r="CQ26" s="23" t="n">
        <f aca="false">IF(CQ16=TRUE(),TotalCapEx*(1-DebtPct)/COUNTIF($H$16:$FK$16,TRUE()),0)</f>
        <v>0</v>
      </c>
      <c r="CR26" s="23" t="n">
        <f aca="false">IF(CR16=TRUE(),TotalCapEx*(1-DebtPct)/COUNTIF($H$16:$FK$16,TRUE()),0)</f>
        <v>0</v>
      </c>
      <c r="CS26" s="23" t="n">
        <f aca="false">IF(CS16=TRUE(),TotalCapEx*(1-DebtPct)/COUNTIF($H$16:$FK$16,TRUE()),0)</f>
        <v>0</v>
      </c>
      <c r="CT26" s="23" t="n">
        <f aca="false">IF(CT16=TRUE(),TotalCapEx*(1-DebtPct)/COUNTIF($H$16:$FK$16,TRUE()),0)</f>
        <v>0</v>
      </c>
      <c r="CU26" s="23" t="n">
        <f aca="false">IF(CU16=TRUE(),TotalCapEx*(1-DebtPct)/COUNTIF($H$16:$FK$16,TRUE()),0)</f>
        <v>0</v>
      </c>
      <c r="CV26" s="23" t="n">
        <f aca="false">IF(CV16=TRUE(),TotalCapEx*(1-DebtPct)/COUNTIF($H$16:$FK$16,TRUE()),0)</f>
        <v>0</v>
      </c>
      <c r="CW26" s="23" t="n">
        <f aca="false">IF(CW16=TRUE(),TotalCapEx*(1-DebtPct)/COUNTIF($H$16:$FK$16,TRUE()),0)</f>
        <v>0</v>
      </c>
      <c r="CX26" s="23" t="n">
        <f aca="false">IF(CX16=TRUE(),TotalCapEx*(1-DebtPct)/COUNTIF($H$16:$FK$16,TRUE()),0)</f>
        <v>0</v>
      </c>
      <c r="CY26" s="23" t="n">
        <f aca="false">IF(CY16=TRUE(),TotalCapEx*(1-DebtPct)/COUNTIF($H$16:$FK$16,TRUE()),0)</f>
        <v>0</v>
      </c>
      <c r="CZ26" s="23" t="n">
        <f aca="false">IF(CZ16=TRUE(),TotalCapEx*(1-DebtPct)/COUNTIF($H$16:$FK$16,TRUE()),0)</f>
        <v>0</v>
      </c>
      <c r="DA26" s="23" t="n">
        <f aca="false">IF(DA16=TRUE(),TotalCapEx*(1-DebtPct)/COUNTIF($H$16:$FK$16,TRUE()),0)</f>
        <v>0</v>
      </c>
      <c r="DB26" s="23" t="n">
        <f aca="false">IF(DB16=TRUE(),TotalCapEx*(1-DebtPct)/COUNTIF($H$16:$FK$16,TRUE()),0)</f>
        <v>0</v>
      </c>
      <c r="DC26" s="23" t="n">
        <f aca="false">IF(DC16=TRUE(),TotalCapEx*(1-DebtPct)/COUNTIF($H$16:$FK$16,TRUE()),0)</f>
        <v>0</v>
      </c>
      <c r="DD26" s="23" t="n">
        <f aca="false">IF(DD16=TRUE(),TotalCapEx*(1-DebtPct)/COUNTIF($H$16:$FK$16,TRUE()),0)</f>
        <v>0</v>
      </c>
      <c r="DE26" s="23" t="n">
        <f aca="false">IF(DE16=TRUE(),TotalCapEx*(1-DebtPct)/COUNTIF($H$16:$FK$16,TRUE()),0)</f>
        <v>0</v>
      </c>
      <c r="DF26" s="23" t="n">
        <f aca="false">IF(DF16=TRUE(),TotalCapEx*(1-DebtPct)/COUNTIF($H$16:$FK$16,TRUE()),0)</f>
        <v>0</v>
      </c>
      <c r="DG26" s="23" t="n">
        <f aca="false">IF(DG16=TRUE(),TotalCapEx*(1-DebtPct)/COUNTIF($H$16:$FK$16,TRUE()),0)</f>
        <v>0</v>
      </c>
      <c r="DH26" s="23" t="n">
        <f aca="false">IF(DH16=TRUE(),TotalCapEx*(1-DebtPct)/COUNTIF($H$16:$FK$16,TRUE()),0)</f>
        <v>0</v>
      </c>
      <c r="DI26" s="23" t="n">
        <f aca="false">IF(DI16=TRUE(),TotalCapEx*(1-DebtPct)/COUNTIF($H$16:$FK$16,TRUE()),0)</f>
        <v>0</v>
      </c>
      <c r="DJ26" s="23" t="n">
        <f aca="false">IF(DJ16=TRUE(),TotalCapEx*(1-DebtPct)/COUNTIF($H$16:$FK$16,TRUE()),0)</f>
        <v>0</v>
      </c>
      <c r="DK26" s="23" t="n">
        <f aca="false">IF(DK16=TRUE(),TotalCapEx*(1-DebtPct)/COUNTIF($H$16:$FK$16,TRUE()),0)</f>
        <v>0</v>
      </c>
      <c r="DL26" s="23" t="n">
        <f aca="false">IF(DL16=TRUE(),TotalCapEx*(1-DebtPct)/COUNTIF($H$16:$FK$16,TRUE()),0)</f>
        <v>0</v>
      </c>
      <c r="DM26" s="23" t="n">
        <f aca="false">IF(DM16=TRUE(),TotalCapEx*(1-DebtPct)/COUNTIF($H$16:$FK$16,TRUE()),0)</f>
        <v>0</v>
      </c>
      <c r="DN26" s="23" t="n">
        <f aca="false">IF(DN16=TRUE(),TotalCapEx*(1-DebtPct)/COUNTIF($H$16:$FK$16,TRUE()),0)</f>
        <v>0</v>
      </c>
      <c r="DO26" s="23" t="n">
        <f aca="false">IF(DO16=TRUE(),TotalCapEx*(1-DebtPct)/COUNTIF($H$16:$FK$16,TRUE()),0)</f>
        <v>0</v>
      </c>
      <c r="DP26" s="23" t="n">
        <f aca="false">IF(DP16=TRUE(),TotalCapEx*(1-DebtPct)/COUNTIF($H$16:$FK$16,TRUE()),0)</f>
        <v>0</v>
      </c>
      <c r="DQ26" s="23" t="n">
        <f aca="false">IF(DQ16=TRUE(),TotalCapEx*(1-DebtPct)/COUNTIF($H$16:$FK$16,TRUE()),0)</f>
        <v>0</v>
      </c>
      <c r="DR26" s="23" t="n">
        <f aca="false">IF(DR16=TRUE(),TotalCapEx*(1-DebtPct)/COUNTIF($H$16:$FK$16,TRUE()),0)</f>
        <v>0</v>
      </c>
      <c r="DS26" s="23" t="n">
        <f aca="false">IF(DS16=TRUE(),TotalCapEx*(1-DebtPct)/COUNTIF($H$16:$FK$16,TRUE()),0)</f>
        <v>0</v>
      </c>
      <c r="DT26" s="23" t="n">
        <f aca="false">IF(DT16=TRUE(),TotalCapEx*(1-DebtPct)/COUNTIF($H$16:$FK$16,TRUE()),0)</f>
        <v>0</v>
      </c>
      <c r="DU26" s="23" t="n">
        <f aca="false">IF(DU16=TRUE(),TotalCapEx*(1-DebtPct)/COUNTIF($H$16:$FK$16,TRUE()),0)</f>
        <v>0</v>
      </c>
      <c r="DV26" s="23" t="n">
        <f aca="false">IF(DV16=TRUE(),TotalCapEx*(1-DebtPct)/COUNTIF($H$16:$FK$16,TRUE()),0)</f>
        <v>0</v>
      </c>
      <c r="DW26" s="23" t="n">
        <f aca="false">IF(DW16=TRUE(),TotalCapEx*(1-DebtPct)/COUNTIF($H$16:$FK$16,TRUE()),0)</f>
        <v>0</v>
      </c>
      <c r="DX26" s="23" t="n">
        <f aca="false">IF(DX16=TRUE(),TotalCapEx*(1-DebtPct)/COUNTIF($H$16:$FK$16,TRUE()),0)</f>
        <v>0</v>
      </c>
      <c r="DY26" s="23" t="n">
        <f aca="false">IF(DY16=TRUE(),TotalCapEx*(1-DebtPct)/COUNTIF($H$16:$FK$16,TRUE()),0)</f>
        <v>0</v>
      </c>
      <c r="DZ26" s="23" t="n">
        <f aca="false">IF(DZ16=TRUE(),TotalCapEx*(1-DebtPct)/COUNTIF($H$16:$FK$16,TRUE()),0)</f>
        <v>0</v>
      </c>
      <c r="EA26" s="23" t="n">
        <f aca="false">IF(EA16=TRUE(),TotalCapEx*(1-DebtPct)/COUNTIF($H$16:$FK$16,TRUE()),0)</f>
        <v>0</v>
      </c>
      <c r="EB26" s="23" t="n">
        <f aca="false">IF(EB16=TRUE(),TotalCapEx*(1-DebtPct)/COUNTIF($H$16:$FK$16,TRUE()),0)</f>
        <v>0</v>
      </c>
      <c r="EC26" s="23" t="n">
        <f aca="false">IF(EC16=TRUE(),TotalCapEx*(1-DebtPct)/COUNTIF($H$16:$FK$16,TRUE()),0)</f>
        <v>0</v>
      </c>
      <c r="ED26" s="23" t="n">
        <f aca="false">IF(ED16=TRUE(),TotalCapEx*(1-DebtPct)/COUNTIF($H$16:$FK$16,TRUE()),0)</f>
        <v>0</v>
      </c>
      <c r="EE26" s="23" t="n">
        <f aca="false">IF(EE16=TRUE(),TotalCapEx*(1-DebtPct)/COUNTIF($H$16:$FK$16,TRUE()),0)</f>
        <v>0</v>
      </c>
      <c r="EF26" s="23" t="n">
        <f aca="false">IF(EF16=TRUE(),TotalCapEx*(1-DebtPct)/COUNTIF($H$16:$FK$16,TRUE()),0)</f>
        <v>0</v>
      </c>
      <c r="EG26" s="23" t="n">
        <f aca="false">IF(EG16=TRUE(),TotalCapEx*(1-DebtPct)/COUNTIF($H$16:$FK$16,TRUE()),0)</f>
        <v>0</v>
      </c>
      <c r="EH26" s="23" t="n">
        <f aca="false">IF(EH16=TRUE(),TotalCapEx*(1-DebtPct)/COUNTIF($H$16:$FK$16,TRUE()),0)</f>
        <v>0</v>
      </c>
      <c r="EI26" s="23" t="n">
        <f aca="false">IF(EI16=TRUE(),TotalCapEx*(1-DebtPct)/COUNTIF($H$16:$FK$16,TRUE()),0)</f>
        <v>0</v>
      </c>
      <c r="EJ26" s="23" t="n">
        <f aca="false">IF(EJ16=TRUE(),TotalCapEx*(1-DebtPct)/COUNTIF($H$16:$FK$16,TRUE()),0)</f>
        <v>0</v>
      </c>
      <c r="EK26" s="23" t="n">
        <f aca="false">IF(EK16=TRUE(),TotalCapEx*(1-DebtPct)/COUNTIF($H$16:$FK$16,TRUE()),0)</f>
        <v>0</v>
      </c>
      <c r="EL26" s="23" t="n">
        <f aca="false">IF(EL16=TRUE(),TotalCapEx*(1-DebtPct)/COUNTIF($H$16:$FK$16,TRUE()),0)</f>
        <v>0</v>
      </c>
      <c r="EM26" s="23" t="n">
        <f aca="false">IF(EM16=TRUE(),TotalCapEx*(1-DebtPct)/COUNTIF($H$16:$FK$16,TRUE()),0)</f>
        <v>0</v>
      </c>
      <c r="EN26" s="23" t="n">
        <f aca="false">IF(EN16=TRUE(),TotalCapEx*(1-DebtPct)/COUNTIF($H$16:$FK$16,TRUE()),0)</f>
        <v>0</v>
      </c>
      <c r="EO26" s="23" t="n">
        <f aca="false">IF(EO16=TRUE(),TotalCapEx*(1-DebtPct)/COUNTIF($H$16:$FK$16,TRUE()),0)</f>
        <v>0</v>
      </c>
      <c r="EP26" s="23" t="n">
        <f aca="false">IF(EP16=TRUE(),TotalCapEx*(1-DebtPct)/COUNTIF($H$16:$FK$16,TRUE()),0)</f>
        <v>0</v>
      </c>
      <c r="EQ26" s="23" t="n">
        <f aca="false">IF(EQ16=TRUE(),TotalCapEx*(1-DebtPct)/COUNTIF($H$16:$FK$16,TRUE()),0)</f>
        <v>0</v>
      </c>
      <c r="ER26" s="23" t="n">
        <f aca="false">IF(ER16=TRUE(),TotalCapEx*(1-DebtPct)/COUNTIF($H$16:$FK$16,TRUE()),0)</f>
        <v>0</v>
      </c>
      <c r="ES26" s="23" t="n">
        <f aca="false">IF(ES16=TRUE(),TotalCapEx*(1-DebtPct)/COUNTIF($H$16:$FK$16,TRUE()),0)</f>
        <v>0</v>
      </c>
      <c r="ET26" s="23" t="n">
        <f aca="false">IF(ET16=TRUE(),TotalCapEx*(1-DebtPct)/COUNTIF($H$16:$FK$16,TRUE()),0)</f>
        <v>0</v>
      </c>
      <c r="EU26" s="23" t="n">
        <f aca="false">IF(EU16=TRUE(),TotalCapEx*(1-DebtPct)/COUNTIF($H$16:$FK$16,TRUE()),0)</f>
        <v>0</v>
      </c>
      <c r="EV26" s="23" t="n">
        <f aca="false">IF(EV16=TRUE(),TotalCapEx*(1-DebtPct)/COUNTIF($H$16:$FK$16,TRUE()),0)</f>
        <v>0</v>
      </c>
      <c r="EW26" s="23" t="n">
        <f aca="false">IF(EW16=TRUE(),TotalCapEx*(1-DebtPct)/COUNTIF($H$16:$FK$16,TRUE()),0)</f>
        <v>0</v>
      </c>
      <c r="EX26" s="23" t="n">
        <f aca="false">IF(EX16=TRUE(),TotalCapEx*(1-DebtPct)/COUNTIF($H$16:$FK$16,TRUE()),0)</f>
        <v>0</v>
      </c>
      <c r="EY26" s="23" t="n">
        <f aca="false">IF(EY16=TRUE(),TotalCapEx*(1-DebtPct)/COUNTIF($H$16:$FK$16,TRUE()),0)</f>
        <v>0</v>
      </c>
      <c r="EZ26" s="23" t="n">
        <f aca="false">IF(EZ16=TRUE(),TotalCapEx*(1-DebtPct)/COUNTIF($H$16:$FK$16,TRUE()),0)</f>
        <v>0</v>
      </c>
      <c r="FA26" s="23" t="n">
        <f aca="false">IF(FA16=TRUE(),TotalCapEx*(1-DebtPct)/COUNTIF($H$16:$FK$16,TRUE()),0)</f>
        <v>0</v>
      </c>
      <c r="FB26" s="23" t="n">
        <f aca="false">IF(FB16=TRUE(),TotalCapEx*(1-DebtPct)/COUNTIF($H$16:$FK$16,TRUE()),0)</f>
        <v>0</v>
      </c>
      <c r="FC26" s="23" t="n">
        <f aca="false">IF(FC16=TRUE(),TotalCapEx*(1-DebtPct)/COUNTIF($H$16:$FK$16,TRUE()),0)</f>
        <v>0</v>
      </c>
      <c r="FD26" s="23" t="n">
        <f aca="false">IF(FD16=TRUE(),TotalCapEx*(1-DebtPct)/COUNTIF($H$16:$FK$16,TRUE()),0)</f>
        <v>0</v>
      </c>
      <c r="FE26" s="23" t="n">
        <f aca="false">IF(FE16=TRUE(),TotalCapEx*(1-DebtPct)/COUNTIF($H$16:$FK$16,TRUE()),0)</f>
        <v>0</v>
      </c>
      <c r="FF26" s="23" t="n">
        <f aca="false">IF(FF16=TRUE(),TotalCapEx*(1-DebtPct)/COUNTIF($H$16:$FK$16,TRUE()),0)</f>
        <v>0</v>
      </c>
      <c r="FG26" s="23" t="n">
        <f aca="false">IF(FG16=TRUE(),TotalCapEx*(1-DebtPct)/COUNTIF($H$16:$FK$16,TRUE()),0)</f>
        <v>0</v>
      </c>
      <c r="FH26" s="23" t="n">
        <f aca="false">IF(FH16=TRUE(),TotalCapEx*(1-DebtPct)/COUNTIF($H$16:$FK$16,TRUE()),0)</f>
        <v>0</v>
      </c>
      <c r="FI26" s="23" t="n">
        <f aca="false">IF(FI16=TRUE(),TotalCapEx*(1-DebtPct)/COUNTIF($H$16:$FK$16,TRUE()),0)</f>
        <v>0</v>
      </c>
      <c r="FJ26" s="23" t="n">
        <f aca="false">IF(FJ16=TRUE(),TotalCapEx*(1-DebtPct)/COUNTIF($H$16:$FK$16,TRUE()),0)</f>
        <v>0</v>
      </c>
      <c r="FK26" s="23" t="n">
        <f aca="false">IF(FK16=TRUE(),TotalCapEx*(1-DebtPct)/COUNTIF($H$16:$FK$16,TRUE()),0)</f>
        <v>0</v>
      </c>
    </row>
    <row r="27" customFormat="false" ht="15" hidden="false" customHeight="true" outlineLevel="0" collapsed="false">
      <c r="D27" s="21" t="s">
        <v>75</v>
      </c>
      <c r="E27" s="7" t="s">
        <v>28</v>
      </c>
      <c r="F27" s="22" t="n">
        <f aca="false">SUM(H27:FK27)</f>
        <v>270000000</v>
      </c>
      <c r="H27" s="23" t="n">
        <f aca="false">IF(H16=TRUE(),TotalCapEx*DebtPct/COUNTIF($H$16:$FK$16,TRUE()),0)</f>
        <v>67500000</v>
      </c>
      <c r="I27" s="23" t="n">
        <f aca="false">IF(I16=TRUE(),TotalCapEx*DebtPct/COUNTIF($H$16:$FK$16,TRUE()),0)</f>
        <v>67500000</v>
      </c>
      <c r="J27" s="23" t="n">
        <f aca="false">IF(J16=TRUE(),TotalCapEx*DebtPct/COUNTIF($H$16:$FK$16,TRUE()),0)</f>
        <v>67500000</v>
      </c>
      <c r="K27" s="23" t="n">
        <f aca="false">IF(K16=TRUE(),TotalCapEx*DebtPct/COUNTIF($H$16:$FK$16,TRUE()),0)</f>
        <v>67500000</v>
      </c>
      <c r="L27" s="23" t="n">
        <f aca="false">IF(L16=TRUE(),TotalCapEx*DebtPct/COUNTIF($H$16:$FK$16,TRUE()),0)</f>
        <v>0</v>
      </c>
      <c r="M27" s="23" t="n">
        <f aca="false">IF(M16=TRUE(),TotalCapEx*DebtPct/COUNTIF($H$16:$FK$16,TRUE()),0)</f>
        <v>0</v>
      </c>
      <c r="N27" s="23" t="n">
        <f aca="false">IF(N16=TRUE(),TotalCapEx*DebtPct/COUNTIF($H$16:$FK$16,TRUE()),0)</f>
        <v>0</v>
      </c>
      <c r="O27" s="23" t="n">
        <f aca="false">IF(O16=TRUE(),TotalCapEx*DebtPct/COUNTIF($H$16:$FK$16,TRUE()),0)</f>
        <v>0</v>
      </c>
      <c r="P27" s="23" t="n">
        <f aca="false">IF(P16=TRUE(),TotalCapEx*DebtPct/COUNTIF($H$16:$FK$16,TRUE()),0)</f>
        <v>0</v>
      </c>
      <c r="Q27" s="23" t="n">
        <f aca="false">IF(Q16=TRUE(),TotalCapEx*DebtPct/COUNTIF($H$16:$FK$16,TRUE()),0)</f>
        <v>0</v>
      </c>
      <c r="R27" s="23" t="n">
        <f aca="false">IF(R16=TRUE(),TotalCapEx*DebtPct/COUNTIF($H$16:$FK$16,TRUE()),0)</f>
        <v>0</v>
      </c>
      <c r="S27" s="23" t="n">
        <f aca="false">IF(S16=TRUE(),TotalCapEx*DebtPct/COUNTIF($H$16:$FK$16,TRUE()),0)</f>
        <v>0</v>
      </c>
      <c r="T27" s="23" t="n">
        <f aca="false">IF(T16=TRUE(),TotalCapEx*DebtPct/COUNTIF($H$16:$FK$16,TRUE()),0)</f>
        <v>0</v>
      </c>
      <c r="U27" s="23" t="n">
        <f aca="false">IF(U16=TRUE(),TotalCapEx*DebtPct/COUNTIF($H$16:$FK$16,TRUE()),0)</f>
        <v>0</v>
      </c>
      <c r="V27" s="23" t="n">
        <f aca="false">IF(V16=TRUE(),TotalCapEx*DebtPct/COUNTIF($H$16:$FK$16,TRUE()),0)</f>
        <v>0</v>
      </c>
      <c r="W27" s="23" t="n">
        <f aca="false">IF(W16=TRUE(),TotalCapEx*DebtPct/COUNTIF($H$16:$FK$16,TRUE()),0)</f>
        <v>0</v>
      </c>
      <c r="X27" s="23" t="n">
        <f aca="false">IF(X16=TRUE(),TotalCapEx*DebtPct/COUNTIF($H$16:$FK$16,TRUE()),0)</f>
        <v>0</v>
      </c>
      <c r="Y27" s="23" t="n">
        <f aca="false">IF(Y16=TRUE(),TotalCapEx*DebtPct/COUNTIF($H$16:$FK$16,TRUE()),0)</f>
        <v>0</v>
      </c>
      <c r="Z27" s="23" t="n">
        <f aca="false">IF(Z16=TRUE(),TotalCapEx*DebtPct/COUNTIF($H$16:$FK$16,TRUE()),0)</f>
        <v>0</v>
      </c>
      <c r="AA27" s="23" t="n">
        <f aca="false">IF(AA16=TRUE(),TotalCapEx*DebtPct/COUNTIF($H$16:$FK$16,TRUE()),0)</f>
        <v>0</v>
      </c>
      <c r="AB27" s="23" t="n">
        <f aca="false">IF(AB16=TRUE(),TotalCapEx*DebtPct/COUNTIF($H$16:$FK$16,TRUE()),0)</f>
        <v>0</v>
      </c>
      <c r="AC27" s="23" t="n">
        <f aca="false">IF(AC16=TRUE(),TotalCapEx*DebtPct/COUNTIF($H$16:$FK$16,TRUE()),0)</f>
        <v>0</v>
      </c>
      <c r="AD27" s="23" t="n">
        <f aca="false">IF(AD16=TRUE(),TotalCapEx*DebtPct/COUNTIF($H$16:$FK$16,TRUE()),0)</f>
        <v>0</v>
      </c>
      <c r="AE27" s="23" t="n">
        <f aca="false">IF(AE16=TRUE(),TotalCapEx*DebtPct/COUNTIF($H$16:$FK$16,TRUE()),0)</f>
        <v>0</v>
      </c>
      <c r="AF27" s="23" t="n">
        <f aca="false">IF(AF16=TRUE(),TotalCapEx*DebtPct/COUNTIF($H$16:$FK$16,TRUE()),0)</f>
        <v>0</v>
      </c>
      <c r="AG27" s="23" t="n">
        <f aca="false">IF(AG16=TRUE(),TotalCapEx*DebtPct/COUNTIF($H$16:$FK$16,TRUE()),0)</f>
        <v>0</v>
      </c>
      <c r="AH27" s="23" t="n">
        <f aca="false">IF(AH16=TRUE(),TotalCapEx*DebtPct/COUNTIF($H$16:$FK$16,TRUE()),0)</f>
        <v>0</v>
      </c>
      <c r="AI27" s="23" t="n">
        <f aca="false">IF(AI16=TRUE(),TotalCapEx*DebtPct/COUNTIF($H$16:$FK$16,TRUE()),0)</f>
        <v>0</v>
      </c>
      <c r="AJ27" s="23" t="n">
        <f aca="false">IF(AJ16=TRUE(),TotalCapEx*DebtPct/COUNTIF($H$16:$FK$16,TRUE()),0)</f>
        <v>0</v>
      </c>
      <c r="AK27" s="23" t="n">
        <f aca="false">IF(AK16=TRUE(),TotalCapEx*DebtPct/COUNTIF($H$16:$FK$16,TRUE()),0)</f>
        <v>0</v>
      </c>
      <c r="AL27" s="23" t="n">
        <f aca="false">IF(AL16=TRUE(),TotalCapEx*DebtPct/COUNTIF($H$16:$FK$16,TRUE()),0)</f>
        <v>0</v>
      </c>
      <c r="AM27" s="23" t="n">
        <f aca="false">IF(AM16=TRUE(),TotalCapEx*DebtPct/COUNTIF($H$16:$FK$16,TRUE()),0)</f>
        <v>0</v>
      </c>
      <c r="AN27" s="23" t="n">
        <f aca="false">IF(AN16=TRUE(),TotalCapEx*DebtPct/COUNTIF($H$16:$FK$16,TRUE()),0)</f>
        <v>0</v>
      </c>
      <c r="AO27" s="23" t="n">
        <f aca="false">IF(AO16=TRUE(),TotalCapEx*DebtPct/COUNTIF($H$16:$FK$16,TRUE()),0)</f>
        <v>0</v>
      </c>
      <c r="AP27" s="23" t="n">
        <f aca="false">IF(AP16=TRUE(),TotalCapEx*DebtPct/COUNTIF($H$16:$FK$16,TRUE()),0)</f>
        <v>0</v>
      </c>
      <c r="AQ27" s="23" t="n">
        <f aca="false">IF(AQ16=TRUE(),TotalCapEx*DebtPct/COUNTIF($H$16:$FK$16,TRUE()),0)</f>
        <v>0</v>
      </c>
      <c r="AR27" s="23" t="n">
        <f aca="false">IF(AR16=TRUE(),TotalCapEx*DebtPct/COUNTIF($H$16:$FK$16,TRUE()),0)</f>
        <v>0</v>
      </c>
      <c r="AS27" s="23" t="n">
        <f aca="false">IF(AS16=TRUE(),TotalCapEx*DebtPct/COUNTIF($H$16:$FK$16,TRUE()),0)</f>
        <v>0</v>
      </c>
      <c r="AT27" s="23" t="n">
        <f aca="false">IF(AT16=TRUE(),TotalCapEx*DebtPct/COUNTIF($H$16:$FK$16,TRUE()),0)</f>
        <v>0</v>
      </c>
      <c r="AU27" s="23" t="n">
        <f aca="false">IF(AU16=TRUE(),TotalCapEx*DebtPct/COUNTIF($H$16:$FK$16,TRUE()),0)</f>
        <v>0</v>
      </c>
      <c r="AV27" s="23" t="n">
        <f aca="false">IF(AV16=TRUE(),TotalCapEx*DebtPct/COUNTIF($H$16:$FK$16,TRUE()),0)</f>
        <v>0</v>
      </c>
      <c r="AW27" s="23" t="n">
        <f aca="false">IF(AW16=TRUE(),TotalCapEx*DebtPct/COUNTIF($H$16:$FK$16,TRUE()),0)</f>
        <v>0</v>
      </c>
      <c r="AX27" s="23" t="n">
        <f aca="false">IF(AX16=TRUE(),TotalCapEx*DebtPct/COUNTIF($H$16:$FK$16,TRUE()),0)</f>
        <v>0</v>
      </c>
      <c r="AY27" s="23" t="n">
        <f aca="false">IF(AY16=TRUE(),TotalCapEx*DebtPct/COUNTIF($H$16:$FK$16,TRUE()),0)</f>
        <v>0</v>
      </c>
      <c r="AZ27" s="23" t="n">
        <f aca="false">IF(AZ16=TRUE(),TotalCapEx*DebtPct/COUNTIF($H$16:$FK$16,TRUE()),0)</f>
        <v>0</v>
      </c>
      <c r="BA27" s="23" t="n">
        <f aca="false">IF(BA16=TRUE(),TotalCapEx*DebtPct/COUNTIF($H$16:$FK$16,TRUE()),0)</f>
        <v>0</v>
      </c>
      <c r="BB27" s="23" t="n">
        <f aca="false">IF(BB16=TRUE(),TotalCapEx*DebtPct/COUNTIF($H$16:$FK$16,TRUE()),0)</f>
        <v>0</v>
      </c>
      <c r="BC27" s="23" t="n">
        <f aca="false">IF(BC16=TRUE(),TotalCapEx*DebtPct/COUNTIF($H$16:$FK$16,TRUE()),0)</f>
        <v>0</v>
      </c>
      <c r="BD27" s="23" t="n">
        <f aca="false">IF(BD16=TRUE(),TotalCapEx*DebtPct/COUNTIF($H$16:$FK$16,TRUE()),0)</f>
        <v>0</v>
      </c>
      <c r="BE27" s="23" t="n">
        <f aca="false">IF(BE16=TRUE(),TotalCapEx*DebtPct/COUNTIF($H$16:$FK$16,TRUE()),0)</f>
        <v>0</v>
      </c>
      <c r="BF27" s="23" t="n">
        <f aca="false">IF(BF16=TRUE(),TotalCapEx*DebtPct/COUNTIF($H$16:$FK$16,TRUE()),0)</f>
        <v>0</v>
      </c>
      <c r="BG27" s="23" t="n">
        <f aca="false">IF(BG16=TRUE(),TotalCapEx*DebtPct/COUNTIF($H$16:$FK$16,TRUE()),0)</f>
        <v>0</v>
      </c>
      <c r="BH27" s="23" t="n">
        <f aca="false">IF(BH16=TRUE(),TotalCapEx*DebtPct/COUNTIF($H$16:$FK$16,TRUE()),0)</f>
        <v>0</v>
      </c>
      <c r="BI27" s="23" t="n">
        <f aca="false">IF(BI16=TRUE(),TotalCapEx*DebtPct/COUNTIF($H$16:$FK$16,TRUE()),0)</f>
        <v>0</v>
      </c>
      <c r="BJ27" s="23" t="n">
        <f aca="false">IF(BJ16=TRUE(),TotalCapEx*DebtPct/COUNTIF($H$16:$FK$16,TRUE()),0)</f>
        <v>0</v>
      </c>
      <c r="BK27" s="23" t="n">
        <f aca="false">IF(BK16=TRUE(),TotalCapEx*DebtPct/COUNTIF($H$16:$FK$16,TRUE()),0)</f>
        <v>0</v>
      </c>
      <c r="BL27" s="23" t="n">
        <f aca="false">IF(BL16=TRUE(),TotalCapEx*DebtPct/COUNTIF($H$16:$FK$16,TRUE()),0)</f>
        <v>0</v>
      </c>
      <c r="BM27" s="23" t="n">
        <f aca="false">IF(BM16=TRUE(),TotalCapEx*DebtPct/COUNTIF($H$16:$FK$16,TRUE()),0)</f>
        <v>0</v>
      </c>
      <c r="BN27" s="23" t="n">
        <f aca="false">IF(BN16=TRUE(),TotalCapEx*DebtPct/COUNTIF($H$16:$FK$16,TRUE()),0)</f>
        <v>0</v>
      </c>
      <c r="BO27" s="23" t="n">
        <f aca="false">IF(BO16=TRUE(),TotalCapEx*DebtPct/COUNTIF($H$16:$FK$16,TRUE()),0)</f>
        <v>0</v>
      </c>
      <c r="BP27" s="23" t="n">
        <f aca="false">IF(BP16=TRUE(),TotalCapEx*DebtPct/COUNTIF($H$16:$FK$16,TRUE()),0)</f>
        <v>0</v>
      </c>
      <c r="BQ27" s="23" t="n">
        <f aca="false">IF(BQ16=TRUE(),TotalCapEx*DebtPct/COUNTIF($H$16:$FK$16,TRUE()),0)</f>
        <v>0</v>
      </c>
      <c r="BR27" s="23" t="n">
        <f aca="false">IF(BR16=TRUE(),TotalCapEx*DebtPct/COUNTIF($H$16:$FK$16,TRUE()),0)</f>
        <v>0</v>
      </c>
      <c r="BS27" s="23" t="n">
        <f aca="false">IF(BS16=TRUE(),TotalCapEx*DebtPct/COUNTIF($H$16:$FK$16,TRUE()),0)</f>
        <v>0</v>
      </c>
      <c r="BT27" s="23" t="n">
        <f aca="false">IF(BT16=TRUE(),TotalCapEx*DebtPct/COUNTIF($H$16:$FK$16,TRUE()),0)</f>
        <v>0</v>
      </c>
      <c r="BU27" s="23" t="n">
        <f aca="false">IF(BU16=TRUE(),TotalCapEx*DebtPct/COUNTIF($H$16:$FK$16,TRUE()),0)</f>
        <v>0</v>
      </c>
      <c r="BV27" s="23" t="n">
        <f aca="false">IF(BV16=TRUE(),TotalCapEx*DebtPct/COUNTIF($H$16:$FK$16,TRUE()),0)</f>
        <v>0</v>
      </c>
      <c r="BW27" s="23" t="n">
        <f aca="false">IF(BW16=TRUE(),TotalCapEx*DebtPct/COUNTIF($H$16:$FK$16,TRUE()),0)</f>
        <v>0</v>
      </c>
      <c r="BX27" s="23" t="n">
        <f aca="false">IF(BX16=TRUE(),TotalCapEx*DebtPct/COUNTIF($H$16:$FK$16,TRUE()),0)</f>
        <v>0</v>
      </c>
      <c r="BY27" s="23" t="n">
        <f aca="false">IF(BY16=TRUE(),TotalCapEx*DebtPct/COUNTIF($H$16:$FK$16,TRUE()),0)</f>
        <v>0</v>
      </c>
      <c r="BZ27" s="23" t="n">
        <f aca="false">IF(BZ16=TRUE(),TotalCapEx*DebtPct/COUNTIF($H$16:$FK$16,TRUE()),0)</f>
        <v>0</v>
      </c>
      <c r="CA27" s="23" t="n">
        <f aca="false">IF(CA16=TRUE(),TotalCapEx*DebtPct/COUNTIF($H$16:$FK$16,TRUE()),0)</f>
        <v>0</v>
      </c>
      <c r="CB27" s="23" t="n">
        <f aca="false">IF(CB16=TRUE(),TotalCapEx*DebtPct/COUNTIF($H$16:$FK$16,TRUE()),0)</f>
        <v>0</v>
      </c>
      <c r="CC27" s="23" t="n">
        <f aca="false">IF(CC16=TRUE(),TotalCapEx*DebtPct/COUNTIF($H$16:$FK$16,TRUE()),0)</f>
        <v>0</v>
      </c>
      <c r="CD27" s="23" t="n">
        <f aca="false">IF(CD16=TRUE(),TotalCapEx*DebtPct/COUNTIF($H$16:$FK$16,TRUE()),0)</f>
        <v>0</v>
      </c>
      <c r="CE27" s="23" t="n">
        <f aca="false">IF(CE16=TRUE(),TotalCapEx*DebtPct/COUNTIF($H$16:$FK$16,TRUE()),0)</f>
        <v>0</v>
      </c>
      <c r="CF27" s="23" t="n">
        <f aca="false">IF(CF16=TRUE(),TotalCapEx*DebtPct/COUNTIF($H$16:$FK$16,TRUE()),0)</f>
        <v>0</v>
      </c>
      <c r="CG27" s="23" t="n">
        <f aca="false">IF(CG16=TRUE(),TotalCapEx*DebtPct/COUNTIF($H$16:$FK$16,TRUE()),0)</f>
        <v>0</v>
      </c>
      <c r="CH27" s="23" t="n">
        <f aca="false">IF(CH16=TRUE(),TotalCapEx*DebtPct/COUNTIF($H$16:$FK$16,TRUE()),0)</f>
        <v>0</v>
      </c>
      <c r="CI27" s="23" t="n">
        <f aca="false">IF(CI16=TRUE(),TotalCapEx*DebtPct/COUNTIF($H$16:$FK$16,TRUE()),0)</f>
        <v>0</v>
      </c>
      <c r="CJ27" s="23" t="n">
        <f aca="false">IF(CJ16=TRUE(),TotalCapEx*DebtPct/COUNTIF($H$16:$FK$16,TRUE()),0)</f>
        <v>0</v>
      </c>
      <c r="CK27" s="23" t="n">
        <f aca="false">IF(CK16=TRUE(),TotalCapEx*DebtPct/COUNTIF($H$16:$FK$16,TRUE()),0)</f>
        <v>0</v>
      </c>
      <c r="CL27" s="23" t="n">
        <f aca="false">IF(CL16=TRUE(),TotalCapEx*DebtPct/COUNTIF($H$16:$FK$16,TRUE()),0)</f>
        <v>0</v>
      </c>
      <c r="CM27" s="23" t="n">
        <f aca="false">IF(CM16=TRUE(),TotalCapEx*DebtPct/COUNTIF($H$16:$FK$16,TRUE()),0)</f>
        <v>0</v>
      </c>
      <c r="CN27" s="23" t="n">
        <f aca="false">IF(CN16=TRUE(),TotalCapEx*DebtPct/COUNTIF($H$16:$FK$16,TRUE()),0)</f>
        <v>0</v>
      </c>
      <c r="CO27" s="23" t="n">
        <f aca="false">IF(CO16=TRUE(),TotalCapEx*DebtPct/COUNTIF($H$16:$FK$16,TRUE()),0)</f>
        <v>0</v>
      </c>
      <c r="CP27" s="23" t="n">
        <f aca="false">IF(CP16=TRUE(),TotalCapEx*DebtPct/COUNTIF($H$16:$FK$16,TRUE()),0)</f>
        <v>0</v>
      </c>
      <c r="CQ27" s="23" t="n">
        <f aca="false">IF(CQ16=TRUE(),TotalCapEx*DebtPct/COUNTIF($H$16:$FK$16,TRUE()),0)</f>
        <v>0</v>
      </c>
      <c r="CR27" s="23" t="n">
        <f aca="false">IF(CR16=TRUE(),TotalCapEx*DebtPct/COUNTIF($H$16:$FK$16,TRUE()),0)</f>
        <v>0</v>
      </c>
      <c r="CS27" s="23" t="n">
        <f aca="false">IF(CS16=TRUE(),TotalCapEx*DebtPct/COUNTIF($H$16:$FK$16,TRUE()),0)</f>
        <v>0</v>
      </c>
      <c r="CT27" s="23" t="n">
        <f aca="false">IF(CT16=TRUE(),TotalCapEx*DebtPct/COUNTIF($H$16:$FK$16,TRUE()),0)</f>
        <v>0</v>
      </c>
      <c r="CU27" s="23" t="n">
        <f aca="false">IF(CU16=TRUE(),TotalCapEx*DebtPct/COUNTIF($H$16:$FK$16,TRUE()),0)</f>
        <v>0</v>
      </c>
      <c r="CV27" s="23" t="n">
        <f aca="false">IF(CV16=TRUE(),TotalCapEx*DebtPct/COUNTIF($H$16:$FK$16,TRUE()),0)</f>
        <v>0</v>
      </c>
      <c r="CW27" s="23" t="n">
        <f aca="false">IF(CW16=TRUE(),TotalCapEx*DebtPct/COUNTIF($H$16:$FK$16,TRUE()),0)</f>
        <v>0</v>
      </c>
      <c r="CX27" s="23" t="n">
        <f aca="false">IF(CX16=TRUE(),TotalCapEx*DebtPct/COUNTIF($H$16:$FK$16,TRUE()),0)</f>
        <v>0</v>
      </c>
      <c r="CY27" s="23" t="n">
        <f aca="false">IF(CY16=TRUE(),TotalCapEx*DebtPct/COUNTIF($H$16:$FK$16,TRUE()),0)</f>
        <v>0</v>
      </c>
      <c r="CZ27" s="23" t="n">
        <f aca="false">IF(CZ16=TRUE(),TotalCapEx*DebtPct/COUNTIF($H$16:$FK$16,TRUE()),0)</f>
        <v>0</v>
      </c>
      <c r="DA27" s="23" t="n">
        <f aca="false">IF(DA16=TRUE(),TotalCapEx*DebtPct/COUNTIF($H$16:$FK$16,TRUE()),0)</f>
        <v>0</v>
      </c>
      <c r="DB27" s="23" t="n">
        <f aca="false">IF(DB16=TRUE(),TotalCapEx*DebtPct/COUNTIF($H$16:$FK$16,TRUE()),0)</f>
        <v>0</v>
      </c>
      <c r="DC27" s="23" t="n">
        <f aca="false">IF(DC16=TRUE(),TotalCapEx*DebtPct/COUNTIF($H$16:$FK$16,TRUE()),0)</f>
        <v>0</v>
      </c>
      <c r="DD27" s="23" t="n">
        <f aca="false">IF(DD16=TRUE(),TotalCapEx*DebtPct/COUNTIF($H$16:$FK$16,TRUE()),0)</f>
        <v>0</v>
      </c>
      <c r="DE27" s="23" t="n">
        <f aca="false">IF(DE16=TRUE(),TotalCapEx*DebtPct/COUNTIF($H$16:$FK$16,TRUE()),0)</f>
        <v>0</v>
      </c>
      <c r="DF27" s="23" t="n">
        <f aca="false">IF(DF16=TRUE(),TotalCapEx*DebtPct/COUNTIF($H$16:$FK$16,TRUE()),0)</f>
        <v>0</v>
      </c>
      <c r="DG27" s="23" t="n">
        <f aca="false">IF(DG16=TRUE(),TotalCapEx*DebtPct/COUNTIF($H$16:$FK$16,TRUE()),0)</f>
        <v>0</v>
      </c>
      <c r="DH27" s="23" t="n">
        <f aca="false">IF(DH16=TRUE(),TotalCapEx*DebtPct/COUNTIF($H$16:$FK$16,TRUE()),0)</f>
        <v>0</v>
      </c>
      <c r="DI27" s="23" t="n">
        <f aca="false">IF(DI16=TRUE(),TotalCapEx*DebtPct/COUNTIF($H$16:$FK$16,TRUE()),0)</f>
        <v>0</v>
      </c>
      <c r="DJ27" s="23" t="n">
        <f aca="false">IF(DJ16=TRUE(),TotalCapEx*DebtPct/COUNTIF($H$16:$FK$16,TRUE()),0)</f>
        <v>0</v>
      </c>
      <c r="DK27" s="23" t="n">
        <f aca="false">IF(DK16=TRUE(),TotalCapEx*DebtPct/COUNTIF($H$16:$FK$16,TRUE()),0)</f>
        <v>0</v>
      </c>
      <c r="DL27" s="23" t="n">
        <f aca="false">IF(DL16=TRUE(),TotalCapEx*DebtPct/COUNTIF($H$16:$FK$16,TRUE()),0)</f>
        <v>0</v>
      </c>
      <c r="DM27" s="23" t="n">
        <f aca="false">IF(DM16=TRUE(),TotalCapEx*DebtPct/COUNTIF($H$16:$FK$16,TRUE()),0)</f>
        <v>0</v>
      </c>
      <c r="DN27" s="23" t="n">
        <f aca="false">IF(DN16=TRUE(),TotalCapEx*DebtPct/COUNTIF($H$16:$FK$16,TRUE()),0)</f>
        <v>0</v>
      </c>
      <c r="DO27" s="23" t="n">
        <f aca="false">IF(DO16=TRUE(),TotalCapEx*DebtPct/COUNTIF($H$16:$FK$16,TRUE()),0)</f>
        <v>0</v>
      </c>
      <c r="DP27" s="23" t="n">
        <f aca="false">IF(DP16=TRUE(),TotalCapEx*DebtPct/COUNTIF($H$16:$FK$16,TRUE()),0)</f>
        <v>0</v>
      </c>
      <c r="DQ27" s="23" t="n">
        <f aca="false">IF(DQ16=TRUE(),TotalCapEx*DebtPct/COUNTIF($H$16:$FK$16,TRUE()),0)</f>
        <v>0</v>
      </c>
      <c r="DR27" s="23" t="n">
        <f aca="false">IF(DR16=TRUE(),TotalCapEx*DebtPct/COUNTIF($H$16:$FK$16,TRUE()),0)</f>
        <v>0</v>
      </c>
      <c r="DS27" s="23" t="n">
        <f aca="false">IF(DS16=TRUE(),TotalCapEx*DebtPct/COUNTIF($H$16:$FK$16,TRUE()),0)</f>
        <v>0</v>
      </c>
      <c r="DT27" s="23" t="n">
        <f aca="false">IF(DT16=TRUE(),TotalCapEx*DebtPct/COUNTIF($H$16:$FK$16,TRUE()),0)</f>
        <v>0</v>
      </c>
      <c r="DU27" s="23" t="n">
        <f aca="false">IF(DU16=TRUE(),TotalCapEx*DebtPct/COUNTIF($H$16:$FK$16,TRUE()),0)</f>
        <v>0</v>
      </c>
      <c r="DV27" s="23" t="n">
        <f aca="false">IF(DV16=TRUE(),TotalCapEx*DebtPct/COUNTIF($H$16:$FK$16,TRUE()),0)</f>
        <v>0</v>
      </c>
      <c r="DW27" s="23" t="n">
        <f aca="false">IF(DW16=TRUE(),TotalCapEx*DebtPct/COUNTIF($H$16:$FK$16,TRUE()),0)</f>
        <v>0</v>
      </c>
      <c r="DX27" s="23" t="n">
        <f aca="false">IF(DX16=TRUE(),TotalCapEx*DebtPct/COUNTIF($H$16:$FK$16,TRUE()),0)</f>
        <v>0</v>
      </c>
      <c r="DY27" s="23" t="n">
        <f aca="false">IF(DY16=TRUE(),TotalCapEx*DebtPct/COUNTIF($H$16:$FK$16,TRUE()),0)</f>
        <v>0</v>
      </c>
      <c r="DZ27" s="23" t="n">
        <f aca="false">IF(DZ16=TRUE(),TotalCapEx*DebtPct/COUNTIF($H$16:$FK$16,TRUE()),0)</f>
        <v>0</v>
      </c>
      <c r="EA27" s="23" t="n">
        <f aca="false">IF(EA16=TRUE(),TotalCapEx*DebtPct/COUNTIF($H$16:$FK$16,TRUE()),0)</f>
        <v>0</v>
      </c>
      <c r="EB27" s="23" t="n">
        <f aca="false">IF(EB16=TRUE(),TotalCapEx*DebtPct/COUNTIF($H$16:$FK$16,TRUE()),0)</f>
        <v>0</v>
      </c>
      <c r="EC27" s="23" t="n">
        <f aca="false">IF(EC16=TRUE(),TotalCapEx*DebtPct/COUNTIF($H$16:$FK$16,TRUE()),0)</f>
        <v>0</v>
      </c>
      <c r="ED27" s="23" t="n">
        <f aca="false">IF(ED16=TRUE(),TotalCapEx*DebtPct/COUNTIF($H$16:$FK$16,TRUE()),0)</f>
        <v>0</v>
      </c>
      <c r="EE27" s="23" t="n">
        <f aca="false">IF(EE16=TRUE(),TotalCapEx*DebtPct/COUNTIF($H$16:$FK$16,TRUE()),0)</f>
        <v>0</v>
      </c>
      <c r="EF27" s="23" t="n">
        <f aca="false">IF(EF16=TRUE(),TotalCapEx*DebtPct/COUNTIF($H$16:$FK$16,TRUE()),0)</f>
        <v>0</v>
      </c>
      <c r="EG27" s="23" t="n">
        <f aca="false">IF(EG16=TRUE(),TotalCapEx*DebtPct/COUNTIF($H$16:$FK$16,TRUE()),0)</f>
        <v>0</v>
      </c>
      <c r="EH27" s="23" t="n">
        <f aca="false">IF(EH16=TRUE(),TotalCapEx*DebtPct/COUNTIF($H$16:$FK$16,TRUE()),0)</f>
        <v>0</v>
      </c>
      <c r="EI27" s="23" t="n">
        <f aca="false">IF(EI16=TRUE(),TotalCapEx*DebtPct/COUNTIF($H$16:$FK$16,TRUE()),0)</f>
        <v>0</v>
      </c>
      <c r="EJ27" s="23" t="n">
        <f aca="false">IF(EJ16=TRUE(),TotalCapEx*DebtPct/COUNTIF($H$16:$FK$16,TRUE()),0)</f>
        <v>0</v>
      </c>
      <c r="EK27" s="23" t="n">
        <f aca="false">IF(EK16=TRUE(),TotalCapEx*DebtPct/COUNTIF($H$16:$FK$16,TRUE()),0)</f>
        <v>0</v>
      </c>
      <c r="EL27" s="23" t="n">
        <f aca="false">IF(EL16=TRUE(),TotalCapEx*DebtPct/COUNTIF($H$16:$FK$16,TRUE()),0)</f>
        <v>0</v>
      </c>
      <c r="EM27" s="23" t="n">
        <f aca="false">IF(EM16=TRUE(),TotalCapEx*DebtPct/COUNTIF($H$16:$FK$16,TRUE()),0)</f>
        <v>0</v>
      </c>
      <c r="EN27" s="23" t="n">
        <f aca="false">IF(EN16=TRUE(),TotalCapEx*DebtPct/COUNTIF($H$16:$FK$16,TRUE()),0)</f>
        <v>0</v>
      </c>
      <c r="EO27" s="23" t="n">
        <f aca="false">IF(EO16=TRUE(),TotalCapEx*DebtPct/COUNTIF($H$16:$FK$16,TRUE()),0)</f>
        <v>0</v>
      </c>
      <c r="EP27" s="23" t="n">
        <f aca="false">IF(EP16=TRUE(),TotalCapEx*DebtPct/COUNTIF($H$16:$FK$16,TRUE()),0)</f>
        <v>0</v>
      </c>
      <c r="EQ27" s="23" t="n">
        <f aca="false">IF(EQ16=TRUE(),TotalCapEx*DebtPct/COUNTIF($H$16:$FK$16,TRUE()),0)</f>
        <v>0</v>
      </c>
      <c r="ER27" s="23" t="n">
        <f aca="false">IF(ER16=TRUE(),TotalCapEx*DebtPct/COUNTIF($H$16:$FK$16,TRUE()),0)</f>
        <v>0</v>
      </c>
      <c r="ES27" s="23" t="n">
        <f aca="false">IF(ES16=TRUE(),TotalCapEx*DebtPct/COUNTIF($H$16:$FK$16,TRUE()),0)</f>
        <v>0</v>
      </c>
      <c r="ET27" s="23" t="n">
        <f aca="false">IF(ET16=TRUE(),TotalCapEx*DebtPct/COUNTIF($H$16:$FK$16,TRUE()),0)</f>
        <v>0</v>
      </c>
      <c r="EU27" s="23" t="n">
        <f aca="false">IF(EU16=TRUE(),TotalCapEx*DebtPct/COUNTIF($H$16:$FK$16,TRUE()),0)</f>
        <v>0</v>
      </c>
      <c r="EV27" s="23" t="n">
        <f aca="false">IF(EV16=TRUE(),TotalCapEx*DebtPct/COUNTIF($H$16:$FK$16,TRUE()),0)</f>
        <v>0</v>
      </c>
      <c r="EW27" s="23" t="n">
        <f aca="false">IF(EW16=TRUE(),TotalCapEx*DebtPct/COUNTIF($H$16:$FK$16,TRUE()),0)</f>
        <v>0</v>
      </c>
      <c r="EX27" s="23" t="n">
        <f aca="false">IF(EX16=TRUE(),TotalCapEx*DebtPct/COUNTIF($H$16:$FK$16,TRUE()),0)</f>
        <v>0</v>
      </c>
      <c r="EY27" s="23" t="n">
        <f aca="false">IF(EY16=TRUE(),TotalCapEx*DebtPct/COUNTIF($H$16:$FK$16,TRUE()),0)</f>
        <v>0</v>
      </c>
      <c r="EZ27" s="23" t="n">
        <f aca="false">IF(EZ16=TRUE(),TotalCapEx*DebtPct/COUNTIF($H$16:$FK$16,TRUE()),0)</f>
        <v>0</v>
      </c>
      <c r="FA27" s="23" t="n">
        <f aca="false">IF(FA16=TRUE(),TotalCapEx*DebtPct/COUNTIF($H$16:$FK$16,TRUE()),0)</f>
        <v>0</v>
      </c>
      <c r="FB27" s="23" t="n">
        <f aca="false">IF(FB16=TRUE(),TotalCapEx*DebtPct/COUNTIF($H$16:$FK$16,TRUE()),0)</f>
        <v>0</v>
      </c>
      <c r="FC27" s="23" t="n">
        <f aca="false">IF(FC16=TRUE(),TotalCapEx*DebtPct/COUNTIF($H$16:$FK$16,TRUE()),0)</f>
        <v>0</v>
      </c>
      <c r="FD27" s="23" t="n">
        <f aca="false">IF(FD16=TRUE(),TotalCapEx*DebtPct/COUNTIF($H$16:$FK$16,TRUE()),0)</f>
        <v>0</v>
      </c>
      <c r="FE27" s="23" t="n">
        <f aca="false">IF(FE16=TRUE(),TotalCapEx*DebtPct/COUNTIF($H$16:$FK$16,TRUE()),0)</f>
        <v>0</v>
      </c>
      <c r="FF27" s="23" t="n">
        <f aca="false">IF(FF16=TRUE(),TotalCapEx*DebtPct/COUNTIF($H$16:$FK$16,TRUE()),0)</f>
        <v>0</v>
      </c>
      <c r="FG27" s="23" t="n">
        <f aca="false">IF(FG16=TRUE(),TotalCapEx*DebtPct/COUNTIF($H$16:$FK$16,TRUE()),0)</f>
        <v>0</v>
      </c>
      <c r="FH27" s="23" t="n">
        <f aca="false">IF(FH16=TRUE(),TotalCapEx*DebtPct/COUNTIF($H$16:$FK$16,TRUE()),0)</f>
        <v>0</v>
      </c>
      <c r="FI27" s="23" t="n">
        <f aca="false">IF(FI16=TRUE(),TotalCapEx*DebtPct/COUNTIF($H$16:$FK$16,TRUE()),0)</f>
        <v>0</v>
      </c>
      <c r="FJ27" s="23" t="n">
        <f aca="false">IF(FJ16=TRUE(),TotalCapEx*DebtPct/COUNTIF($H$16:$FK$16,TRUE()),0)</f>
        <v>0</v>
      </c>
      <c r="FK27" s="23" t="n">
        <f aca="false">IF(FK16=TRUE(),TotalCapEx*DebtPct/COUNTIF($H$16:$FK$16,TRUE()),0)</f>
        <v>0</v>
      </c>
    </row>
    <row r="29" customFormat="false" ht="15" hidden="false" customHeight="true" outlineLevel="0" collapsed="false">
      <c r="D29" s="20" t="s">
        <v>76</v>
      </c>
    </row>
    <row r="30" customFormat="false" ht="15" hidden="false" customHeight="true" outlineLevel="0" collapsed="false">
      <c r="D30" s="21" t="s">
        <v>77</v>
      </c>
      <c r="E30" s="7" t="s">
        <v>28</v>
      </c>
      <c r="F30" s="22" t="n">
        <f aca="false">SUM(H30:FK30)</f>
        <v>1576800000</v>
      </c>
      <c r="H30" s="23" t="n">
        <f aca="false">IF(H17=TRUE(),H22*PricePerMWh,0)</f>
        <v>0</v>
      </c>
      <c r="I30" s="23" t="n">
        <f aca="false">IF(I17=TRUE(),I22*PricePerMWh,0)</f>
        <v>0</v>
      </c>
      <c r="J30" s="23" t="n">
        <f aca="false">IF(J17=TRUE(),J22*PricePerMWh,0)</f>
        <v>0</v>
      </c>
      <c r="K30" s="23" t="n">
        <f aca="false">IF(K17=TRUE(),K22*PricePerMWh,0)</f>
        <v>0</v>
      </c>
      <c r="L30" s="23" t="n">
        <f aca="false">IF(L17=TRUE(),L22*PricePerMWh,0)</f>
        <v>13140000</v>
      </c>
      <c r="M30" s="23" t="n">
        <f aca="false">IF(M17=TRUE(),M22*PricePerMWh,0)</f>
        <v>13140000</v>
      </c>
      <c r="N30" s="23" t="n">
        <f aca="false">IF(N17=TRUE(),N22*PricePerMWh,0)</f>
        <v>13140000</v>
      </c>
      <c r="O30" s="23" t="n">
        <f aca="false">IF(O17=TRUE(),O22*PricePerMWh,0)</f>
        <v>13140000</v>
      </c>
      <c r="P30" s="23" t="n">
        <f aca="false">IF(P17=TRUE(),P22*PricePerMWh,0)</f>
        <v>13140000</v>
      </c>
      <c r="Q30" s="23" t="n">
        <f aca="false">IF(Q17=TRUE(),Q22*PricePerMWh,0)</f>
        <v>13140000</v>
      </c>
      <c r="R30" s="23" t="n">
        <f aca="false">IF(R17=TRUE(),R22*PricePerMWh,0)</f>
        <v>13140000</v>
      </c>
      <c r="S30" s="23" t="n">
        <f aca="false">IF(S17=TRUE(),S22*PricePerMWh,0)</f>
        <v>13140000</v>
      </c>
      <c r="T30" s="23" t="n">
        <f aca="false">IF(T17=TRUE(),T22*PricePerMWh,0)</f>
        <v>13140000</v>
      </c>
      <c r="U30" s="23" t="n">
        <f aca="false">IF(U17=TRUE(),U22*PricePerMWh,0)</f>
        <v>13140000</v>
      </c>
      <c r="V30" s="23" t="n">
        <f aca="false">IF(V17=TRUE(),V22*PricePerMWh,0)</f>
        <v>13140000</v>
      </c>
      <c r="W30" s="23" t="n">
        <f aca="false">IF(W17=TRUE(),W22*PricePerMWh,0)</f>
        <v>13140000</v>
      </c>
      <c r="X30" s="23" t="n">
        <f aca="false">IF(X17=TRUE(),X22*PricePerMWh,0)</f>
        <v>13140000</v>
      </c>
      <c r="Y30" s="23" t="n">
        <f aca="false">IF(Y17=TRUE(),Y22*PricePerMWh,0)</f>
        <v>13140000</v>
      </c>
      <c r="Z30" s="23" t="n">
        <f aca="false">IF(Z17=TRUE(),Z22*PricePerMWh,0)</f>
        <v>13140000</v>
      </c>
      <c r="AA30" s="23" t="n">
        <f aca="false">IF(AA17=TRUE(),AA22*PricePerMWh,0)</f>
        <v>13140000</v>
      </c>
      <c r="AB30" s="23" t="n">
        <f aca="false">IF(AB17=TRUE(),AB22*PricePerMWh,0)</f>
        <v>13140000</v>
      </c>
      <c r="AC30" s="23" t="n">
        <f aca="false">IF(AC17=TRUE(),AC22*PricePerMWh,0)</f>
        <v>13140000</v>
      </c>
      <c r="AD30" s="23" t="n">
        <f aca="false">IF(AD17=TRUE(),AD22*PricePerMWh,0)</f>
        <v>13140000</v>
      </c>
      <c r="AE30" s="23" t="n">
        <f aca="false">IF(AE17=TRUE(),AE22*PricePerMWh,0)</f>
        <v>13140000</v>
      </c>
      <c r="AF30" s="23" t="n">
        <f aca="false">IF(AF17=TRUE(),AF22*PricePerMWh,0)</f>
        <v>13140000</v>
      </c>
      <c r="AG30" s="23" t="n">
        <f aca="false">IF(AG17=TRUE(),AG22*PricePerMWh,0)</f>
        <v>13140000</v>
      </c>
      <c r="AH30" s="23" t="n">
        <f aca="false">IF(AH17=TRUE(),AH22*PricePerMWh,0)</f>
        <v>13140000</v>
      </c>
      <c r="AI30" s="23" t="n">
        <f aca="false">IF(AI17=TRUE(),AI22*PricePerMWh,0)</f>
        <v>13140000</v>
      </c>
      <c r="AJ30" s="23" t="n">
        <f aca="false">IF(AJ17=TRUE(),AJ22*PricePerMWh,0)</f>
        <v>13140000</v>
      </c>
      <c r="AK30" s="23" t="n">
        <f aca="false">IF(AK17=TRUE(),AK22*PricePerMWh,0)</f>
        <v>13140000</v>
      </c>
      <c r="AL30" s="23" t="n">
        <f aca="false">IF(AL17=TRUE(),AL22*PricePerMWh,0)</f>
        <v>13140000</v>
      </c>
      <c r="AM30" s="23" t="n">
        <f aca="false">IF(AM17=TRUE(),AM22*PricePerMWh,0)</f>
        <v>13140000</v>
      </c>
      <c r="AN30" s="23" t="n">
        <f aca="false">IF(AN17=TRUE(),AN22*PricePerMWh,0)</f>
        <v>13140000</v>
      </c>
      <c r="AO30" s="23" t="n">
        <f aca="false">IF(AO17=TRUE(),AO22*PricePerMWh,0)</f>
        <v>13140000</v>
      </c>
      <c r="AP30" s="23" t="n">
        <f aca="false">IF(AP17=TRUE(),AP22*PricePerMWh,0)</f>
        <v>13140000</v>
      </c>
      <c r="AQ30" s="23" t="n">
        <f aca="false">IF(AQ17=TRUE(),AQ22*PricePerMWh,0)</f>
        <v>13140000</v>
      </c>
      <c r="AR30" s="23" t="n">
        <f aca="false">IF(AR17=TRUE(),AR22*PricePerMWh,0)</f>
        <v>13140000</v>
      </c>
      <c r="AS30" s="23" t="n">
        <f aca="false">IF(AS17=TRUE(),AS22*PricePerMWh,0)</f>
        <v>13140000</v>
      </c>
      <c r="AT30" s="23" t="n">
        <f aca="false">IF(AT17=TRUE(),AT22*PricePerMWh,0)</f>
        <v>13140000</v>
      </c>
      <c r="AU30" s="23" t="n">
        <f aca="false">IF(AU17=TRUE(),AU22*PricePerMWh,0)</f>
        <v>13140000</v>
      </c>
      <c r="AV30" s="23" t="n">
        <f aca="false">IF(AV17=TRUE(),AV22*PricePerMWh,0)</f>
        <v>13140000</v>
      </c>
      <c r="AW30" s="23" t="n">
        <f aca="false">IF(AW17=TRUE(),AW22*PricePerMWh,0)</f>
        <v>13140000</v>
      </c>
      <c r="AX30" s="23" t="n">
        <f aca="false">IF(AX17=TRUE(),AX22*PricePerMWh,0)</f>
        <v>13140000</v>
      </c>
      <c r="AY30" s="23" t="n">
        <f aca="false">IF(AY17=TRUE(),AY22*PricePerMWh,0)</f>
        <v>13140000</v>
      </c>
      <c r="AZ30" s="23" t="n">
        <f aca="false">IF(AZ17=TRUE(),AZ22*PricePerMWh,0)</f>
        <v>13140000</v>
      </c>
      <c r="BA30" s="23" t="n">
        <f aca="false">IF(BA17=TRUE(),BA22*PricePerMWh,0)</f>
        <v>13140000</v>
      </c>
      <c r="BB30" s="23" t="n">
        <f aca="false">IF(BB17=TRUE(),BB22*PricePerMWh,0)</f>
        <v>13140000</v>
      </c>
      <c r="BC30" s="23" t="n">
        <f aca="false">IF(BC17=TRUE(),BC22*PricePerMWh,0)</f>
        <v>13140000</v>
      </c>
      <c r="BD30" s="23" t="n">
        <f aca="false">IF(BD17=TRUE(),BD22*PricePerMWh,0)</f>
        <v>13140000</v>
      </c>
      <c r="BE30" s="23" t="n">
        <f aca="false">IF(BE17=TRUE(),BE22*PricePerMWh,0)</f>
        <v>13140000</v>
      </c>
      <c r="BF30" s="23" t="n">
        <f aca="false">IF(BF17=TRUE(),BF22*PricePerMWh,0)</f>
        <v>13140000</v>
      </c>
      <c r="BG30" s="23" t="n">
        <f aca="false">IF(BG17=TRUE(),BG22*PricePerMWh,0)</f>
        <v>13140000</v>
      </c>
      <c r="BH30" s="23" t="n">
        <f aca="false">IF(BH17=TRUE(),BH22*PricePerMWh,0)</f>
        <v>13140000</v>
      </c>
      <c r="BI30" s="23" t="n">
        <f aca="false">IF(BI17=TRUE(),BI22*PricePerMWh,0)</f>
        <v>13140000</v>
      </c>
      <c r="BJ30" s="23" t="n">
        <f aca="false">IF(BJ17=TRUE(),BJ22*PricePerMWh,0)</f>
        <v>13140000</v>
      </c>
      <c r="BK30" s="23" t="n">
        <f aca="false">IF(BK17=TRUE(),BK22*PricePerMWh,0)</f>
        <v>13140000</v>
      </c>
      <c r="BL30" s="23" t="n">
        <f aca="false">IF(BL17=TRUE(),BL22*PricePerMWh,0)</f>
        <v>13140000</v>
      </c>
      <c r="BM30" s="23" t="n">
        <f aca="false">IF(BM17=TRUE(),BM22*PricePerMWh,0)</f>
        <v>13140000</v>
      </c>
      <c r="BN30" s="23" t="n">
        <f aca="false">IF(BN17=TRUE(),BN22*PricePerMWh,0)</f>
        <v>13140000</v>
      </c>
      <c r="BO30" s="23" t="n">
        <f aca="false">IF(BO17=TRUE(),BO22*PricePerMWh,0)</f>
        <v>13140000</v>
      </c>
      <c r="BP30" s="23" t="n">
        <f aca="false">IF(BP17=TRUE(),BP22*PricePerMWh,0)</f>
        <v>13140000</v>
      </c>
      <c r="BQ30" s="23" t="n">
        <f aca="false">IF(BQ17=TRUE(),BQ22*PricePerMWh,0)</f>
        <v>13140000</v>
      </c>
      <c r="BR30" s="23" t="n">
        <f aca="false">IF(BR17=TRUE(),BR22*PricePerMWh,0)</f>
        <v>13140000</v>
      </c>
      <c r="BS30" s="23" t="n">
        <f aca="false">IF(BS17=TRUE(),BS22*PricePerMWh,0)</f>
        <v>13140000</v>
      </c>
      <c r="BT30" s="23" t="n">
        <f aca="false">IF(BT17=TRUE(),BT22*PricePerMWh,0)</f>
        <v>13140000</v>
      </c>
      <c r="BU30" s="23" t="n">
        <f aca="false">IF(BU17=TRUE(),BU22*PricePerMWh,0)</f>
        <v>13140000</v>
      </c>
      <c r="BV30" s="23" t="n">
        <f aca="false">IF(BV17=TRUE(),BV22*PricePerMWh,0)</f>
        <v>13140000</v>
      </c>
      <c r="BW30" s="23" t="n">
        <f aca="false">IF(BW17=TRUE(),BW22*PricePerMWh,0)</f>
        <v>13140000</v>
      </c>
      <c r="BX30" s="23" t="n">
        <f aca="false">IF(BX17=TRUE(),BX22*PricePerMWh,0)</f>
        <v>13140000</v>
      </c>
      <c r="BY30" s="23" t="n">
        <f aca="false">IF(BY17=TRUE(),BY22*PricePerMWh,0)</f>
        <v>13140000</v>
      </c>
      <c r="BZ30" s="23" t="n">
        <f aca="false">IF(BZ17=TRUE(),BZ22*PricePerMWh,0)</f>
        <v>13140000</v>
      </c>
      <c r="CA30" s="23" t="n">
        <f aca="false">IF(CA17=TRUE(),CA22*PricePerMWh,0)</f>
        <v>13140000</v>
      </c>
      <c r="CB30" s="23" t="n">
        <f aca="false">IF(CB17=TRUE(),CB22*PricePerMWh,0)</f>
        <v>13140000</v>
      </c>
      <c r="CC30" s="23" t="n">
        <f aca="false">IF(CC17=TRUE(),CC22*PricePerMWh,0)</f>
        <v>13140000</v>
      </c>
      <c r="CD30" s="23" t="n">
        <f aca="false">IF(CD17=TRUE(),CD22*PricePerMWh,0)</f>
        <v>13140000</v>
      </c>
      <c r="CE30" s="23" t="n">
        <f aca="false">IF(CE17=TRUE(),CE22*PricePerMWh,0)</f>
        <v>13140000</v>
      </c>
      <c r="CF30" s="23" t="n">
        <f aca="false">IF(CF17=TRUE(),CF22*PricePerMWh,0)</f>
        <v>13140000</v>
      </c>
      <c r="CG30" s="23" t="n">
        <f aca="false">IF(CG17=TRUE(),CG22*PricePerMWh,0)</f>
        <v>13140000</v>
      </c>
      <c r="CH30" s="23" t="n">
        <f aca="false">IF(CH17=TRUE(),CH22*PricePerMWh,0)</f>
        <v>13140000</v>
      </c>
      <c r="CI30" s="23" t="n">
        <f aca="false">IF(CI17=TRUE(),CI22*PricePerMWh,0)</f>
        <v>13140000</v>
      </c>
      <c r="CJ30" s="23" t="n">
        <f aca="false">IF(CJ17=TRUE(),CJ22*PricePerMWh,0)</f>
        <v>13140000</v>
      </c>
      <c r="CK30" s="23" t="n">
        <f aca="false">IF(CK17=TRUE(),CK22*PricePerMWh,0)</f>
        <v>13140000</v>
      </c>
      <c r="CL30" s="23" t="n">
        <f aca="false">IF(CL17=TRUE(),CL22*PricePerMWh,0)</f>
        <v>13140000</v>
      </c>
      <c r="CM30" s="23" t="n">
        <f aca="false">IF(CM17=TRUE(),CM22*PricePerMWh,0)</f>
        <v>13140000</v>
      </c>
      <c r="CN30" s="23" t="n">
        <f aca="false">IF(CN17=TRUE(),CN22*PricePerMWh,0)</f>
        <v>13140000</v>
      </c>
      <c r="CO30" s="23" t="n">
        <f aca="false">IF(CO17=TRUE(),CO22*PricePerMWh,0)</f>
        <v>13140000</v>
      </c>
      <c r="CP30" s="23" t="n">
        <f aca="false">IF(CP17=TRUE(),CP22*PricePerMWh,0)</f>
        <v>13140000</v>
      </c>
      <c r="CQ30" s="23" t="n">
        <f aca="false">IF(CQ17=TRUE(),CQ22*PricePerMWh,0)</f>
        <v>13140000</v>
      </c>
      <c r="CR30" s="23" t="n">
        <f aca="false">IF(CR17=TRUE(),CR22*PricePerMWh,0)</f>
        <v>13140000</v>
      </c>
      <c r="CS30" s="23" t="n">
        <f aca="false">IF(CS17=TRUE(),CS22*PricePerMWh,0)</f>
        <v>13140000</v>
      </c>
      <c r="CT30" s="23" t="n">
        <f aca="false">IF(CT17=TRUE(),CT22*PricePerMWh,0)</f>
        <v>13140000</v>
      </c>
      <c r="CU30" s="23" t="n">
        <f aca="false">IF(CU17=TRUE(),CU22*PricePerMWh,0)</f>
        <v>13140000</v>
      </c>
      <c r="CV30" s="23" t="n">
        <f aca="false">IF(CV17=TRUE(),CV22*PricePerMWh,0)</f>
        <v>13140000</v>
      </c>
      <c r="CW30" s="23" t="n">
        <f aca="false">IF(CW17=TRUE(),CW22*PricePerMWh,0)</f>
        <v>13140000</v>
      </c>
      <c r="CX30" s="23" t="n">
        <f aca="false">IF(CX17=TRUE(),CX22*PricePerMWh,0)</f>
        <v>13140000</v>
      </c>
      <c r="CY30" s="23" t="n">
        <f aca="false">IF(CY17=TRUE(),CY22*PricePerMWh,0)</f>
        <v>13140000</v>
      </c>
      <c r="CZ30" s="23" t="n">
        <f aca="false">IF(CZ17=TRUE(),CZ22*PricePerMWh,0)</f>
        <v>13140000</v>
      </c>
      <c r="DA30" s="23" t="n">
        <f aca="false">IF(DA17=TRUE(),DA22*PricePerMWh,0)</f>
        <v>13140000</v>
      </c>
      <c r="DB30" s="23" t="n">
        <f aca="false">IF(DB17=TRUE(),DB22*PricePerMWh,0)</f>
        <v>13140000</v>
      </c>
      <c r="DC30" s="23" t="n">
        <f aca="false">IF(DC17=TRUE(),DC22*PricePerMWh,0)</f>
        <v>13140000</v>
      </c>
      <c r="DD30" s="23" t="n">
        <f aca="false">IF(DD17=TRUE(),DD22*PricePerMWh,0)</f>
        <v>13140000</v>
      </c>
      <c r="DE30" s="23" t="n">
        <f aca="false">IF(DE17=TRUE(),DE22*PricePerMWh,0)</f>
        <v>13140000</v>
      </c>
      <c r="DF30" s="23" t="n">
        <f aca="false">IF(DF17=TRUE(),DF22*PricePerMWh,0)</f>
        <v>13140000</v>
      </c>
      <c r="DG30" s="23" t="n">
        <f aca="false">IF(DG17=TRUE(),DG22*PricePerMWh,0)</f>
        <v>13140000</v>
      </c>
      <c r="DH30" s="23" t="n">
        <f aca="false">IF(DH17=TRUE(),DH22*PricePerMWh,0)</f>
        <v>13140000</v>
      </c>
      <c r="DI30" s="23" t="n">
        <f aca="false">IF(DI17=TRUE(),DI22*PricePerMWh,0)</f>
        <v>13140000</v>
      </c>
      <c r="DJ30" s="23" t="n">
        <f aca="false">IF(DJ17=TRUE(),DJ22*PricePerMWh,0)</f>
        <v>13140000</v>
      </c>
      <c r="DK30" s="23" t="n">
        <f aca="false">IF(DK17=TRUE(),DK22*PricePerMWh,0)</f>
        <v>13140000</v>
      </c>
      <c r="DL30" s="23" t="n">
        <f aca="false">IF(DL17=TRUE(),DL22*PricePerMWh,0)</f>
        <v>13140000</v>
      </c>
      <c r="DM30" s="23" t="n">
        <f aca="false">IF(DM17=TRUE(),DM22*PricePerMWh,0)</f>
        <v>13140000</v>
      </c>
      <c r="DN30" s="23" t="n">
        <f aca="false">IF(DN17=TRUE(),DN22*PricePerMWh,0)</f>
        <v>13140000</v>
      </c>
      <c r="DO30" s="23" t="n">
        <f aca="false">IF(DO17=TRUE(),DO22*PricePerMWh,0)</f>
        <v>13140000</v>
      </c>
      <c r="DP30" s="23" t="n">
        <f aca="false">IF(DP17=TRUE(),DP22*PricePerMWh,0)</f>
        <v>13140000</v>
      </c>
      <c r="DQ30" s="23" t="n">
        <f aca="false">IF(DQ17=TRUE(),DQ22*PricePerMWh,0)</f>
        <v>13140000</v>
      </c>
      <c r="DR30" s="23" t="n">
        <f aca="false">IF(DR17=TRUE(),DR22*PricePerMWh,0)</f>
        <v>13140000</v>
      </c>
      <c r="DS30" s="23" t="n">
        <f aca="false">IF(DS17=TRUE(),DS22*PricePerMWh,0)</f>
        <v>13140000</v>
      </c>
      <c r="DT30" s="23" t="n">
        <f aca="false">IF(DT17=TRUE(),DT22*PricePerMWh,0)</f>
        <v>13140000</v>
      </c>
      <c r="DU30" s="23" t="n">
        <f aca="false">IF(DU17=TRUE(),DU22*PricePerMWh,0)</f>
        <v>13140000</v>
      </c>
      <c r="DV30" s="23" t="n">
        <f aca="false">IF(DV17=TRUE(),DV22*PricePerMWh,0)</f>
        <v>13140000</v>
      </c>
      <c r="DW30" s="23" t="n">
        <f aca="false">IF(DW17=TRUE(),DW22*PricePerMWh,0)</f>
        <v>13140000</v>
      </c>
      <c r="DX30" s="23" t="n">
        <f aca="false">IF(DX17=TRUE(),DX22*PricePerMWh,0)</f>
        <v>13140000</v>
      </c>
      <c r="DY30" s="23" t="n">
        <f aca="false">IF(DY17=TRUE(),DY22*PricePerMWh,0)</f>
        <v>13140000</v>
      </c>
      <c r="DZ30" s="23" t="n">
        <f aca="false">IF(DZ17=TRUE(),DZ22*PricePerMWh,0)</f>
        <v>13140000</v>
      </c>
      <c r="EA30" s="23" t="n">
        <f aca="false">IF(EA17=TRUE(),EA22*PricePerMWh,0)</f>
        <v>13140000</v>
      </c>
      <c r="EB30" s="23" t="n">
        <f aca="false">IF(EB17=TRUE(),EB22*PricePerMWh,0)</f>
        <v>0</v>
      </c>
      <c r="EC30" s="23" t="n">
        <f aca="false">IF(EC17=TRUE(),EC22*PricePerMWh,0)</f>
        <v>0</v>
      </c>
      <c r="ED30" s="23" t="n">
        <f aca="false">IF(ED17=TRUE(),ED22*PricePerMWh,0)</f>
        <v>0</v>
      </c>
      <c r="EE30" s="23" t="n">
        <f aca="false">IF(EE17=TRUE(),EE22*PricePerMWh,0)</f>
        <v>0</v>
      </c>
      <c r="EF30" s="23" t="n">
        <f aca="false">IF(EF17=TRUE(),EF22*PricePerMWh,0)</f>
        <v>0</v>
      </c>
      <c r="EG30" s="23" t="n">
        <f aca="false">IF(EG17=TRUE(),EG22*PricePerMWh,0)</f>
        <v>0</v>
      </c>
      <c r="EH30" s="23" t="n">
        <f aca="false">IF(EH17=TRUE(),EH22*PricePerMWh,0)</f>
        <v>0</v>
      </c>
      <c r="EI30" s="23" t="n">
        <f aca="false">IF(EI17=TRUE(),EI22*PricePerMWh,0)</f>
        <v>0</v>
      </c>
      <c r="EJ30" s="23" t="n">
        <f aca="false">IF(EJ17=TRUE(),EJ22*PricePerMWh,0)</f>
        <v>0</v>
      </c>
      <c r="EK30" s="23" t="n">
        <f aca="false">IF(EK17=TRUE(),EK22*PricePerMWh,0)</f>
        <v>0</v>
      </c>
      <c r="EL30" s="23" t="n">
        <f aca="false">IF(EL17=TRUE(),EL22*PricePerMWh,0)</f>
        <v>0</v>
      </c>
      <c r="EM30" s="23" t="n">
        <f aca="false">IF(EM17=TRUE(),EM22*PricePerMWh,0)</f>
        <v>0</v>
      </c>
      <c r="EN30" s="23" t="n">
        <f aca="false">IF(EN17=TRUE(),EN22*PricePerMWh,0)</f>
        <v>0</v>
      </c>
      <c r="EO30" s="23" t="n">
        <f aca="false">IF(EO17=TRUE(),EO22*PricePerMWh,0)</f>
        <v>0</v>
      </c>
      <c r="EP30" s="23" t="n">
        <f aca="false">IF(EP17=TRUE(),EP22*PricePerMWh,0)</f>
        <v>0</v>
      </c>
      <c r="EQ30" s="23" t="n">
        <f aca="false">IF(EQ17=TRUE(),EQ22*PricePerMWh,0)</f>
        <v>0</v>
      </c>
      <c r="ER30" s="23" t="n">
        <f aca="false">IF(ER17=TRUE(),ER22*PricePerMWh,0)</f>
        <v>0</v>
      </c>
      <c r="ES30" s="23" t="n">
        <f aca="false">IF(ES17=TRUE(),ES22*PricePerMWh,0)</f>
        <v>0</v>
      </c>
      <c r="ET30" s="23" t="n">
        <f aca="false">IF(ET17=TRUE(),ET22*PricePerMWh,0)</f>
        <v>0</v>
      </c>
      <c r="EU30" s="23" t="n">
        <f aca="false">IF(EU17=TRUE(),EU22*PricePerMWh,0)</f>
        <v>0</v>
      </c>
      <c r="EV30" s="23" t="n">
        <f aca="false">IF(EV17=TRUE(),EV22*PricePerMWh,0)</f>
        <v>0</v>
      </c>
      <c r="EW30" s="23" t="n">
        <f aca="false">IF(EW17=TRUE(),EW22*PricePerMWh,0)</f>
        <v>0</v>
      </c>
      <c r="EX30" s="23" t="n">
        <f aca="false">IF(EX17=TRUE(),EX22*PricePerMWh,0)</f>
        <v>0</v>
      </c>
      <c r="EY30" s="23" t="n">
        <f aca="false">IF(EY17=TRUE(),EY22*PricePerMWh,0)</f>
        <v>0</v>
      </c>
      <c r="EZ30" s="23" t="n">
        <f aca="false">IF(EZ17=TRUE(),EZ22*PricePerMWh,0)</f>
        <v>0</v>
      </c>
      <c r="FA30" s="23" t="n">
        <f aca="false">IF(FA17=TRUE(),FA22*PricePerMWh,0)</f>
        <v>0</v>
      </c>
      <c r="FB30" s="23" t="n">
        <f aca="false">IF(FB17=TRUE(),FB22*PricePerMWh,0)</f>
        <v>0</v>
      </c>
      <c r="FC30" s="23" t="n">
        <f aca="false">IF(FC17=TRUE(),FC22*PricePerMWh,0)</f>
        <v>0</v>
      </c>
      <c r="FD30" s="23" t="n">
        <f aca="false">IF(FD17=TRUE(),FD22*PricePerMWh,0)</f>
        <v>0</v>
      </c>
      <c r="FE30" s="23" t="n">
        <f aca="false">IF(FE17=TRUE(),FE22*PricePerMWh,0)</f>
        <v>0</v>
      </c>
      <c r="FF30" s="23" t="n">
        <f aca="false">IF(FF17=TRUE(),FF22*PricePerMWh,0)</f>
        <v>0</v>
      </c>
      <c r="FG30" s="23" t="n">
        <f aca="false">IF(FG17=TRUE(),FG22*PricePerMWh,0)</f>
        <v>0</v>
      </c>
      <c r="FH30" s="23" t="n">
        <f aca="false">IF(FH17=TRUE(),FH22*PricePerMWh,0)</f>
        <v>0</v>
      </c>
      <c r="FI30" s="23" t="n">
        <f aca="false">IF(FI17=TRUE(),FI22*PricePerMWh,0)</f>
        <v>0</v>
      </c>
      <c r="FJ30" s="23" t="n">
        <f aca="false">IF(FJ17=TRUE(),FJ22*PricePerMWh,0)</f>
        <v>0</v>
      </c>
      <c r="FK30" s="23" t="n">
        <f aca="false">IF(FK17=TRUE(),FK22*PricePerMWh,0)</f>
        <v>0</v>
      </c>
    </row>
    <row r="31" customFormat="false" ht="15" hidden="false" customHeight="true" outlineLevel="0" collapsed="false">
      <c r="D31" s="21" t="s">
        <v>78</v>
      </c>
      <c r="E31" s="7" t="s">
        <v>28</v>
      </c>
      <c r="F31" s="22" t="n">
        <f aca="false">SUM(H31:FK31)</f>
        <v>-270000000</v>
      </c>
      <c r="H31" s="23" t="n">
        <f aca="false">IF(H17=TRUE(),-(Capacity_MW*1000*OMCostPerKWYear)*(PeriodLengthMonths/MonthsPerYear),0)</f>
        <v>0</v>
      </c>
      <c r="I31" s="23" t="n">
        <f aca="false">IF(I17=TRUE(),-(Capacity_MW*1000*OMCostPerKWYear)*(PeriodLengthMonths/MonthsPerYear),0)</f>
        <v>0</v>
      </c>
      <c r="J31" s="23" t="n">
        <f aca="false">IF(J17=TRUE(),-(Capacity_MW*1000*OMCostPerKWYear)*(PeriodLengthMonths/MonthsPerYear),0)</f>
        <v>0</v>
      </c>
      <c r="K31" s="23" t="n">
        <f aca="false">IF(K17=TRUE(),-(Capacity_MW*1000*OMCostPerKWYear)*(PeriodLengthMonths/MonthsPerYear),0)</f>
        <v>0</v>
      </c>
      <c r="L31" s="23" t="n">
        <f aca="false">IF(L17=TRUE(),-(Capacity_MW*1000*OMCostPerKWYear)*(PeriodLengthMonths/MonthsPerYear),0)</f>
        <v>-2250000</v>
      </c>
      <c r="M31" s="23" t="n">
        <f aca="false">IF(M17=TRUE(),-(Capacity_MW*1000*OMCostPerKWYear)*(PeriodLengthMonths/MonthsPerYear),0)</f>
        <v>-2250000</v>
      </c>
      <c r="N31" s="23" t="n">
        <f aca="false">IF(N17=TRUE(),-(Capacity_MW*1000*OMCostPerKWYear)*(PeriodLengthMonths/MonthsPerYear),0)</f>
        <v>-2250000</v>
      </c>
      <c r="O31" s="23" t="n">
        <f aca="false">IF(O17=TRUE(),-(Capacity_MW*1000*OMCostPerKWYear)*(PeriodLengthMonths/MonthsPerYear),0)</f>
        <v>-2250000</v>
      </c>
      <c r="P31" s="23" t="n">
        <f aca="false">IF(P17=TRUE(),-(Capacity_MW*1000*OMCostPerKWYear)*(PeriodLengthMonths/MonthsPerYear),0)</f>
        <v>-2250000</v>
      </c>
      <c r="Q31" s="23" t="n">
        <f aca="false">IF(Q17=TRUE(),-(Capacity_MW*1000*OMCostPerKWYear)*(PeriodLengthMonths/MonthsPerYear),0)</f>
        <v>-2250000</v>
      </c>
      <c r="R31" s="23" t="n">
        <f aca="false">IF(R17=TRUE(),-(Capacity_MW*1000*OMCostPerKWYear)*(PeriodLengthMonths/MonthsPerYear),0)</f>
        <v>-2250000</v>
      </c>
      <c r="S31" s="23" t="n">
        <f aca="false">IF(S17=TRUE(),-(Capacity_MW*1000*OMCostPerKWYear)*(PeriodLengthMonths/MonthsPerYear),0)</f>
        <v>-2250000</v>
      </c>
      <c r="T31" s="23" t="n">
        <f aca="false">IF(T17=TRUE(),-(Capacity_MW*1000*OMCostPerKWYear)*(PeriodLengthMonths/MonthsPerYear),0)</f>
        <v>-2250000</v>
      </c>
      <c r="U31" s="23" t="n">
        <f aca="false">IF(U17=TRUE(),-(Capacity_MW*1000*OMCostPerKWYear)*(PeriodLengthMonths/MonthsPerYear),0)</f>
        <v>-2250000</v>
      </c>
      <c r="V31" s="23" t="n">
        <f aca="false">IF(V17=TRUE(),-(Capacity_MW*1000*OMCostPerKWYear)*(PeriodLengthMonths/MonthsPerYear),0)</f>
        <v>-2250000</v>
      </c>
      <c r="W31" s="23" t="n">
        <f aca="false">IF(W17=TRUE(),-(Capacity_MW*1000*OMCostPerKWYear)*(PeriodLengthMonths/MonthsPerYear),0)</f>
        <v>-2250000</v>
      </c>
      <c r="X31" s="23" t="n">
        <f aca="false">IF(X17=TRUE(),-(Capacity_MW*1000*OMCostPerKWYear)*(PeriodLengthMonths/MonthsPerYear),0)</f>
        <v>-2250000</v>
      </c>
      <c r="Y31" s="23" t="n">
        <f aca="false">IF(Y17=TRUE(),-(Capacity_MW*1000*OMCostPerKWYear)*(PeriodLengthMonths/MonthsPerYear),0)</f>
        <v>-2250000</v>
      </c>
      <c r="Z31" s="23" t="n">
        <f aca="false">IF(Z17=TRUE(),-(Capacity_MW*1000*OMCostPerKWYear)*(PeriodLengthMonths/MonthsPerYear),0)</f>
        <v>-2250000</v>
      </c>
      <c r="AA31" s="23" t="n">
        <f aca="false">IF(AA17=TRUE(),-(Capacity_MW*1000*OMCostPerKWYear)*(PeriodLengthMonths/MonthsPerYear),0)</f>
        <v>-2250000</v>
      </c>
      <c r="AB31" s="23" t="n">
        <f aca="false">IF(AB17=TRUE(),-(Capacity_MW*1000*OMCostPerKWYear)*(PeriodLengthMonths/MonthsPerYear),0)</f>
        <v>-2250000</v>
      </c>
      <c r="AC31" s="23" t="n">
        <f aca="false">IF(AC17=TRUE(),-(Capacity_MW*1000*OMCostPerKWYear)*(PeriodLengthMonths/MonthsPerYear),0)</f>
        <v>-2250000</v>
      </c>
      <c r="AD31" s="23" t="n">
        <f aca="false">IF(AD17=TRUE(),-(Capacity_MW*1000*OMCostPerKWYear)*(PeriodLengthMonths/MonthsPerYear),0)</f>
        <v>-2250000</v>
      </c>
      <c r="AE31" s="23" t="n">
        <f aca="false">IF(AE17=TRUE(),-(Capacity_MW*1000*OMCostPerKWYear)*(PeriodLengthMonths/MonthsPerYear),0)</f>
        <v>-2250000</v>
      </c>
      <c r="AF31" s="23" t="n">
        <f aca="false">IF(AF17=TRUE(),-(Capacity_MW*1000*OMCostPerKWYear)*(PeriodLengthMonths/MonthsPerYear),0)</f>
        <v>-2250000</v>
      </c>
      <c r="AG31" s="23" t="n">
        <f aca="false">IF(AG17=TRUE(),-(Capacity_MW*1000*OMCostPerKWYear)*(PeriodLengthMonths/MonthsPerYear),0)</f>
        <v>-2250000</v>
      </c>
      <c r="AH31" s="23" t="n">
        <f aca="false">IF(AH17=TRUE(),-(Capacity_MW*1000*OMCostPerKWYear)*(PeriodLengthMonths/MonthsPerYear),0)</f>
        <v>-2250000</v>
      </c>
      <c r="AI31" s="23" t="n">
        <f aca="false">IF(AI17=TRUE(),-(Capacity_MW*1000*OMCostPerKWYear)*(PeriodLengthMonths/MonthsPerYear),0)</f>
        <v>-2250000</v>
      </c>
      <c r="AJ31" s="23" t="n">
        <f aca="false">IF(AJ17=TRUE(),-(Capacity_MW*1000*OMCostPerKWYear)*(PeriodLengthMonths/MonthsPerYear),0)</f>
        <v>-2250000</v>
      </c>
      <c r="AK31" s="23" t="n">
        <f aca="false">IF(AK17=TRUE(),-(Capacity_MW*1000*OMCostPerKWYear)*(PeriodLengthMonths/MonthsPerYear),0)</f>
        <v>-2250000</v>
      </c>
      <c r="AL31" s="23" t="n">
        <f aca="false">IF(AL17=TRUE(),-(Capacity_MW*1000*OMCostPerKWYear)*(PeriodLengthMonths/MonthsPerYear),0)</f>
        <v>-2250000</v>
      </c>
      <c r="AM31" s="23" t="n">
        <f aca="false">IF(AM17=TRUE(),-(Capacity_MW*1000*OMCostPerKWYear)*(PeriodLengthMonths/MonthsPerYear),0)</f>
        <v>-2250000</v>
      </c>
      <c r="AN31" s="23" t="n">
        <f aca="false">IF(AN17=TRUE(),-(Capacity_MW*1000*OMCostPerKWYear)*(PeriodLengthMonths/MonthsPerYear),0)</f>
        <v>-2250000</v>
      </c>
      <c r="AO31" s="23" t="n">
        <f aca="false">IF(AO17=TRUE(),-(Capacity_MW*1000*OMCostPerKWYear)*(PeriodLengthMonths/MonthsPerYear),0)</f>
        <v>-2250000</v>
      </c>
      <c r="AP31" s="23" t="n">
        <f aca="false">IF(AP17=TRUE(),-(Capacity_MW*1000*OMCostPerKWYear)*(PeriodLengthMonths/MonthsPerYear),0)</f>
        <v>-2250000</v>
      </c>
      <c r="AQ31" s="23" t="n">
        <f aca="false">IF(AQ17=TRUE(),-(Capacity_MW*1000*OMCostPerKWYear)*(PeriodLengthMonths/MonthsPerYear),0)</f>
        <v>-2250000</v>
      </c>
      <c r="AR31" s="23" t="n">
        <f aca="false">IF(AR17=TRUE(),-(Capacity_MW*1000*OMCostPerKWYear)*(PeriodLengthMonths/MonthsPerYear),0)</f>
        <v>-2250000</v>
      </c>
      <c r="AS31" s="23" t="n">
        <f aca="false">IF(AS17=TRUE(),-(Capacity_MW*1000*OMCostPerKWYear)*(PeriodLengthMonths/MonthsPerYear),0)</f>
        <v>-2250000</v>
      </c>
      <c r="AT31" s="23" t="n">
        <f aca="false">IF(AT17=TRUE(),-(Capacity_MW*1000*OMCostPerKWYear)*(PeriodLengthMonths/MonthsPerYear),0)</f>
        <v>-2250000</v>
      </c>
      <c r="AU31" s="23" t="n">
        <f aca="false">IF(AU17=TRUE(),-(Capacity_MW*1000*OMCostPerKWYear)*(PeriodLengthMonths/MonthsPerYear),0)</f>
        <v>-2250000</v>
      </c>
      <c r="AV31" s="23" t="n">
        <f aca="false">IF(AV17=TRUE(),-(Capacity_MW*1000*OMCostPerKWYear)*(PeriodLengthMonths/MonthsPerYear),0)</f>
        <v>-2250000</v>
      </c>
      <c r="AW31" s="23" t="n">
        <f aca="false">IF(AW17=TRUE(),-(Capacity_MW*1000*OMCostPerKWYear)*(PeriodLengthMonths/MonthsPerYear),0)</f>
        <v>-2250000</v>
      </c>
      <c r="AX31" s="23" t="n">
        <f aca="false">IF(AX17=TRUE(),-(Capacity_MW*1000*OMCostPerKWYear)*(PeriodLengthMonths/MonthsPerYear),0)</f>
        <v>-2250000</v>
      </c>
      <c r="AY31" s="23" t="n">
        <f aca="false">IF(AY17=TRUE(),-(Capacity_MW*1000*OMCostPerKWYear)*(PeriodLengthMonths/MonthsPerYear),0)</f>
        <v>-2250000</v>
      </c>
      <c r="AZ31" s="23" t="n">
        <f aca="false">IF(AZ17=TRUE(),-(Capacity_MW*1000*OMCostPerKWYear)*(PeriodLengthMonths/MonthsPerYear),0)</f>
        <v>-2250000</v>
      </c>
      <c r="BA31" s="23" t="n">
        <f aca="false">IF(BA17=TRUE(),-(Capacity_MW*1000*OMCostPerKWYear)*(PeriodLengthMonths/MonthsPerYear),0)</f>
        <v>-2250000</v>
      </c>
      <c r="BB31" s="23" t="n">
        <f aca="false">IF(BB17=TRUE(),-(Capacity_MW*1000*OMCostPerKWYear)*(PeriodLengthMonths/MonthsPerYear),0)</f>
        <v>-2250000</v>
      </c>
      <c r="BC31" s="23" t="n">
        <f aca="false">IF(BC17=TRUE(),-(Capacity_MW*1000*OMCostPerKWYear)*(PeriodLengthMonths/MonthsPerYear),0)</f>
        <v>-2250000</v>
      </c>
      <c r="BD31" s="23" t="n">
        <f aca="false">IF(BD17=TRUE(),-(Capacity_MW*1000*OMCostPerKWYear)*(PeriodLengthMonths/MonthsPerYear),0)</f>
        <v>-2250000</v>
      </c>
      <c r="BE31" s="23" t="n">
        <f aca="false">IF(BE17=TRUE(),-(Capacity_MW*1000*OMCostPerKWYear)*(PeriodLengthMonths/MonthsPerYear),0)</f>
        <v>-2250000</v>
      </c>
      <c r="BF31" s="23" t="n">
        <f aca="false">IF(BF17=TRUE(),-(Capacity_MW*1000*OMCostPerKWYear)*(PeriodLengthMonths/MonthsPerYear),0)</f>
        <v>-2250000</v>
      </c>
      <c r="BG31" s="23" t="n">
        <f aca="false">IF(BG17=TRUE(),-(Capacity_MW*1000*OMCostPerKWYear)*(PeriodLengthMonths/MonthsPerYear),0)</f>
        <v>-2250000</v>
      </c>
      <c r="BH31" s="23" t="n">
        <f aca="false">IF(BH17=TRUE(),-(Capacity_MW*1000*OMCostPerKWYear)*(PeriodLengthMonths/MonthsPerYear),0)</f>
        <v>-2250000</v>
      </c>
      <c r="BI31" s="23" t="n">
        <f aca="false">IF(BI17=TRUE(),-(Capacity_MW*1000*OMCostPerKWYear)*(PeriodLengthMonths/MonthsPerYear),0)</f>
        <v>-2250000</v>
      </c>
      <c r="BJ31" s="23" t="n">
        <f aca="false">IF(BJ17=TRUE(),-(Capacity_MW*1000*OMCostPerKWYear)*(PeriodLengthMonths/MonthsPerYear),0)</f>
        <v>-2250000</v>
      </c>
      <c r="BK31" s="23" t="n">
        <f aca="false">IF(BK17=TRUE(),-(Capacity_MW*1000*OMCostPerKWYear)*(PeriodLengthMonths/MonthsPerYear),0)</f>
        <v>-2250000</v>
      </c>
      <c r="BL31" s="23" t="n">
        <f aca="false">IF(BL17=TRUE(),-(Capacity_MW*1000*OMCostPerKWYear)*(PeriodLengthMonths/MonthsPerYear),0)</f>
        <v>-2250000</v>
      </c>
      <c r="BM31" s="23" t="n">
        <f aca="false">IF(BM17=TRUE(),-(Capacity_MW*1000*OMCostPerKWYear)*(PeriodLengthMonths/MonthsPerYear),0)</f>
        <v>-2250000</v>
      </c>
      <c r="BN31" s="23" t="n">
        <f aca="false">IF(BN17=TRUE(),-(Capacity_MW*1000*OMCostPerKWYear)*(PeriodLengthMonths/MonthsPerYear),0)</f>
        <v>-2250000</v>
      </c>
      <c r="BO31" s="23" t="n">
        <f aca="false">IF(BO17=TRUE(),-(Capacity_MW*1000*OMCostPerKWYear)*(PeriodLengthMonths/MonthsPerYear),0)</f>
        <v>-2250000</v>
      </c>
      <c r="BP31" s="23" t="n">
        <f aca="false">IF(BP17=TRUE(),-(Capacity_MW*1000*OMCostPerKWYear)*(PeriodLengthMonths/MonthsPerYear),0)</f>
        <v>-2250000</v>
      </c>
      <c r="BQ31" s="23" t="n">
        <f aca="false">IF(BQ17=TRUE(),-(Capacity_MW*1000*OMCostPerKWYear)*(PeriodLengthMonths/MonthsPerYear),0)</f>
        <v>-2250000</v>
      </c>
      <c r="BR31" s="23" t="n">
        <f aca="false">IF(BR17=TRUE(),-(Capacity_MW*1000*OMCostPerKWYear)*(PeriodLengthMonths/MonthsPerYear),0)</f>
        <v>-2250000</v>
      </c>
      <c r="BS31" s="23" t="n">
        <f aca="false">IF(BS17=TRUE(),-(Capacity_MW*1000*OMCostPerKWYear)*(PeriodLengthMonths/MonthsPerYear),0)</f>
        <v>-2250000</v>
      </c>
      <c r="BT31" s="23" t="n">
        <f aca="false">IF(BT17=TRUE(),-(Capacity_MW*1000*OMCostPerKWYear)*(PeriodLengthMonths/MonthsPerYear),0)</f>
        <v>-2250000</v>
      </c>
      <c r="BU31" s="23" t="n">
        <f aca="false">IF(BU17=TRUE(),-(Capacity_MW*1000*OMCostPerKWYear)*(PeriodLengthMonths/MonthsPerYear),0)</f>
        <v>-2250000</v>
      </c>
      <c r="BV31" s="23" t="n">
        <f aca="false">IF(BV17=TRUE(),-(Capacity_MW*1000*OMCostPerKWYear)*(PeriodLengthMonths/MonthsPerYear),0)</f>
        <v>-2250000</v>
      </c>
      <c r="BW31" s="23" t="n">
        <f aca="false">IF(BW17=TRUE(),-(Capacity_MW*1000*OMCostPerKWYear)*(PeriodLengthMonths/MonthsPerYear),0)</f>
        <v>-2250000</v>
      </c>
      <c r="BX31" s="23" t="n">
        <f aca="false">IF(BX17=TRUE(),-(Capacity_MW*1000*OMCostPerKWYear)*(PeriodLengthMonths/MonthsPerYear),0)</f>
        <v>-2250000</v>
      </c>
      <c r="BY31" s="23" t="n">
        <f aca="false">IF(BY17=TRUE(),-(Capacity_MW*1000*OMCostPerKWYear)*(PeriodLengthMonths/MonthsPerYear),0)</f>
        <v>-2250000</v>
      </c>
      <c r="BZ31" s="23" t="n">
        <f aca="false">IF(BZ17=TRUE(),-(Capacity_MW*1000*OMCostPerKWYear)*(PeriodLengthMonths/MonthsPerYear),0)</f>
        <v>-2250000</v>
      </c>
      <c r="CA31" s="23" t="n">
        <f aca="false">IF(CA17=TRUE(),-(Capacity_MW*1000*OMCostPerKWYear)*(PeriodLengthMonths/MonthsPerYear),0)</f>
        <v>-2250000</v>
      </c>
      <c r="CB31" s="23" t="n">
        <f aca="false">IF(CB17=TRUE(),-(Capacity_MW*1000*OMCostPerKWYear)*(PeriodLengthMonths/MonthsPerYear),0)</f>
        <v>-2250000</v>
      </c>
      <c r="CC31" s="23" t="n">
        <f aca="false">IF(CC17=TRUE(),-(Capacity_MW*1000*OMCostPerKWYear)*(PeriodLengthMonths/MonthsPerYear),0)</f>
        <v>-2250000</v>
      </c>
      <c r="CD31" s="23" t="n">
        <f aca="false">IF(CD17=TRUE(),-(Capacity_MW*1000*OMCostPerKWYear)*(PeriodLengthMonths/MonthsPerYear),0)</f>
        <v>-2250000</v>
      </c>
      <c r="CE31" s="23" t="n">
        <f aca="false">IF(CE17=TRUE(),-(Capacity_MW*1000*OMCostPerKWYear)*(PeriodLengthMonths/MonthsPerYear),0)</f>
        <v>-2250000</v>
      </c>
      <c r="CF31" s="23" t="n">
        <f aca="false">IF(CF17=TRUE(),-(Capacity_MW*1000*OMCostPerKWYear)*(PeriodLengthMonths/MonthsPerYear),0)</f>
        <v>-2250000</v>
      </c>
      <c r="CG31" s="23" t="n">
        <f aca="false">IF(CG17=TRUE(),-(Capacity_MW*1000*OMCostPerKWYear)*(PeriodLengthMonths/MonthsPerYear),0)</f>
        <v>-2250000</v>
      </c>
      <c r="CH31" s="23" t="n">
        <f aca="false">IF(CH17=TRUE(),-(Capacity_MW*1000*OMCostPerKWYear)*(PeriodLengthMonths/MonthsPerYear),0)</f>
        <v>-2250000</v>
      </c>
      <c r="CI31" s="23" t="n">
        <f aca="false">IF(CI17=TRUE(),-(Capacity_MW*1000*OMCostPerKWYear)*(PeriodLengthMonths/MonthsPerYear),0)</f>
        <v>-2250000</v>
      </c>
      <c r="CJ31" s="23" t="n">
        <f aca="false">IF(CJ17=TRUE(),-(Capacity_MW*1000*OMCostPerKWYear)*(PeriodLengthMonths/MonthsPerYear),0)</f>
        <v>-2250000</v>
      </c>
      <c r="CK31" s="23" t="n">
        <f aca="false">IF(CK17=TRUE(),-(Capacity_MW*1000*OMCostPerKWYear)*(PeriodLengthMonths/MonthsPerYear),0)</f>
        <v>-2250000</v>
      </c>
      <c r="CL31" s="23" t="n">
        <f aca="false">IF(CL17=TRUE(),-(Capacity_MW*1000*OMCostPerKWYear)*(PeriodLengthMonths/MonthsPerYear),0)</f>
        <v>-2250000</v>
      </c>
      <c r="CM31" s="23" t="n">
        <f aca="false">IF(CM17=TRUE(),-(Capacity_MW*1000*OMCostPerKWYear)*(PeriodLengthMonths/MonthsPerYear),0)</f>
        <v>-2250000</v>
      </c>
      <c r="CN31" s="23" t="n">
        <f aca="false">IF(CN17=TRUE(),-(Capacity_MW*1000*OMCostPerKWYear)*(PeriodLengthMonths/MonthsPerYear),0)</f>
        <v>-2250000</v>
      </c>
      <c r="CO31" s="23" t="n">
        <f aca="false">IF(CO17=TRUE(),-(Capacity_MW*1000*OMCostPerKWYear)*(PeriodLengthMonths/MonthsPerYear),0)</f>
        <v>-2250000</v>
      </c>
      <c r="CP31" s="23" t="n">
        <f aca="false">IF(CP17=TRUE(),-(Capacity_MW*1000*OMCostPerKWYear)*(PeriodLengthMonths/MonthsPerYear),0)</f>
        <v>-2250000</v>
      </c>
      <c r="CQ31" s="23" t="n">
        <f aca="false">IF(CQ17=TRUE(),-(Capacity_MW*1000*OMCostPerKWYear)*(PeriodLengthMonths/MonthsPerYear),0)</f>
        <v>-2250000</v>
      </c>
      <c r="CR31" s="23" t="n">
        <f aca="false">IF(CR17=TRUE(),-(Capacity_MW*1000*OMCostPerKWYear)*(PeriodLengthMonths/MonthsPerYear),0)</f>
        <v>-2250000</v>
      </c>
      <c r="CS31" s="23" t="n">
        <f aca="false">IF(CS17=TRUE(),-(Capacity_MW*1000*OMCostPerKWYear)*(PeriodLengthMonths/MonthsPerYear),0)</f>
        <v>-2250000</v>
      </c>
      <c r="CT31" s="23" t="n">
        <f aca="false">IF(CT17=TRUE(),-(Capacity_MW*1000*OMCostPerKWYear)*(PeriodLengthMonths/MonthsPerYear),0)</f>
        <v>-2250000</v>
      </c>
      <c r="CU31" s="23" t="n">
        <f aca="false">IF(CU17=TRUE(),-(Capacity_MW*1000*OMCostPerKWYear)*(PeriodLengthMonths/MonthsPerYear),0)</f>
        <v>-2250000</v>
      </c>
      <c r="CV31" s="23" t="n">
        <f aca="false">IF(CV17=TRUE(),-(Capacity_MW*1000*OMCostPerKWYear)*(PeriodLengthMonths/MonthsPerYear),0)</f>
        <v>-2250000</v>
      </c>
      <c r="CW31" s="23" t="n">
        <f aca="false">IF(CW17=TRUE(),-(Capacity_MW*1000*OMCostPerKWYear)*(PeriodLengthMonths/MonthsPerYear),0)</f>
        <v>-2250000</v>
      </c>
      <c r="CX31" s="23" t="n">
        <f aca="false">IF(CX17=TRUE(),-(Capacity_MW*1000*OMCostPerKWYear)*(PeriodLengthMonths/MonthsPerYear),0)</f>
        <v>-2250000</v>
      </c>
      <c r="CY31" s="23" t="n">
        <f aca="false">IF(CY17=TRUE(),-(Capacity_MW*1000*OMCostPerKWYear)*(PeriodLengthMonths/MonthsPerYear),0)</f>
        <v>-2250000</v>
      </c>
      <c r="CZ31" s="23" t="n">
        <f aca="false">IF(CZ17=TRUE(),-(Capacity_MW*1000*OMCostPerKWYear)*(PeriodLengthMonths/MonthsPerYear),0)</f>
        <v>-2250000</v>
      </c>
      <c r="DA31" s="23" t="n">
        <f aca="false">IF(DA17=TRUE(),-(Capacity_MW*1000*OMCostPerKWYear)*(PeriodLengthMonths/MonthsPerYear),0)</f>
        <v>-2250000</v>
      </c>
      <c r="DB31" s="23" t="n">
        <f aca="false">IF(DB17=TRUE(),-(Capacity_MW*1000*OMCostPerKWYear)*(PeriodLengthMonths/MonthsPerYear),0)</f>
        <v>-2250000</v>
      </c>
      <c r="DC31" s="23" t="n">
        <f aca="false">IF(DC17=TRUE(),-(Capacity_MW*1000*OMCostPerKWYear)*(PeriodLengthMonths/MonthsPerYear),0)</f>
        <v>-2250000</v>
      </c>
      <c r="DD31" s="23" t="n">
        <f aca="false">IF(DD17=TRUE(),-(Capacity_MW*1000*OMCostPerKWYear)*(PeriodLengthMonths/MonthsPerYear),0)</f>
        <v>-2250000</v>
      </c>
      <c r="DE31" s="23" t="n">
        <f aca="false">IF(DE17=TRUE(),-(Capacity_MW*1000*OMCostPerKWYear)*(PeriodLengthMonths/MonthsPerYear),0)</f>
        <v>-2250000</v>
      </c>
      <c r="DF31" s="23" t="n">
        <f aca="false">IF(DF17=TRUE(),-(Capacity_MW*1000*OMCostPerKWYear)*(PeriodLengthMonths/MonthsPerYear),0)</f>
        <v>-2250000</v>
      </c>
      <c r="DG31" s="23" t="n">
        <f aca="false">IF(DG17=TRUE(),-(Capacity_MW*1000*OMCostPerKWYear)*(PeriodLengthMonths/MonthsPerYear),0)</f>
        <v>-2250000</v>
      </c>
      <c r="DH31" s="23" t="n">
        <f aca="false">IF(DH17=TRUE(),-(Capacity_MW*1000*OMCostPerKWYear)*(PeriodLengthMonths/MonthsPerYear),0)</f>
        <v>-2250000</v>
      </c>
      <c r="DI31" s="23" t="n">
        <f aca="false">IF(DI17=TRUE(),-(Capacity_MW*1000*OMCostPerKWYear)*(PeriodLengthMonths/MonthsPerYear),0)</f>
        <v>-2250000</v>
      </c>
      <c r="DJ31" s="23" t="n">
        <f aca="false">IF(DJ17=TRUE(),-(Capacity_MW*1000*OMCostPerKWYear)*(PeriodLengthMonths/MonthsPerYear),0)</f>
        <v>-2250000</v>
      </c>
      <c r="DK31" s="23" t="n">
        <f aca="false">IF(DK17=TRUE(),-(Capacity_MW*1000*OMCostPerKWYear)*(PeriodLengthMonths/MonthsPerYear),0)</f>
        <v>-2250000</v>
      </c>
      <c r="DL31" s="23" t="n">
        <f aca="false">IF(DL17=TRUE(),-(Capacity_MW*1000*OMCostPerKWYear)*(PeriodLengthMonths/MonthsPerYear),0)</f>
        <v>-2250000</v>
      </c>
      <c r="DM31" s="23" t="n">
        <f aca="false">IF(DM17=TRUE(),-(Capacity_MW*1000*OMCostPerKWYear)*(PeriodLengthMonths/MonthsPerYear),0)</f>
        <v>-2250000</v>
      </c>
      <c r="DN31" s="23" t="n">
        <f aca="false">IF(DN17=TRUE(),-(Capacity_MW*1000*OMCostPerKWYear)*(PeriodLengthMonths/MonthsPerYear),0)</f>
        <v>-2250000</v>
      </c>
      <c r="DO31" s="23" t="n">
        <f aca="false">IF(DO17=TRUE(),-(Capacity_MW*1000*OMCostPerKWYear)*(PeriodLengthMonths/MonthsPerYear),0)</f>
        <v>-2250000</v>
      </c>
      <c r="DP31" s="23" t="n">
        <f aca="false">IF(DP17=TRUE(),-(Capacity_MW*1000*OMCostPerKWYear)*(PeriodLengthMonths/MonthsPerYear),0)</f>
        <v>-2250000</v>
      </c>
      <c r="DQ31" s="23" t="n">
        <f aca="false">IF(DQ17=TRUE(),-(Capacity_MW*1000*OMCostPerKWYear)*(PeriodLengthMonths/MonthsPerYear),0)</f>
        <v>-2250000</v>
      </c>
      <c r="DR31" s="23" t="n">
        <f aca="false">IF(DR17=TRUE(),-(Capacity_MW*1000*OMCostPerKWYear)*(PeriodLengthMonths/MonthsPerYear),0)</f>
        <v>-2250000</v>
      </c>
      <c r="DS31" s="23" t="n">
        <f aca="false">IF(DS17=TRUE(),-(Capacity_MW*1000*OMCostPerKWYear)*(PeriodLengthMonths/MonthsPerYear),0)</f>
        <v>-2250000</v>
      </c>
      <c r="DT31" s="23" t="n">
        <f aca="false">IF(DT17=TRUE(),-(Capacity_MW*1000*OMCostPerKWYear)*(PeriodLengthMonths/MonthsPerYear),0)</f>
        <v>-2250000</v>
      </c>
      <c r="DU31" s="23" t="n">
        <f aca="false">IF(DU17=TRUE(),-(Capacity_MW*1000*OMCostPerKWYear)*(PeriodLengthMonths/MonthsPerYear),0)</f>
        <v>-2250000</v>
      </c>
      <c r="DV31" s="23" t="n">
        <f aca="false">IF(DV17=TRUE(),-(Capacity_MW*1000*OMCostPerKWYear)*(PeriodLengthMonths/MonthsPerYear),0)</f>
        <v>-2250000</v>
      </c>
      <c r="DW31" s="23" t="n">
        <f aca="false">IF(DW17=TRUE(),-(Capacity_MW*1000*OMCostPerKWYear)*(PeriodLengthMonths/MonthsPerYear),0)</f>
        <v>-2250000</v>
      </c>
      <c r="DX31" s="23" t="n">
        <f aca="false">IF(DX17=TRUE(),-(Capacity_MW*1000*OMCostPerKWYear)*(PeriodLengthMonths/MonthsPerYear),0)</f>
        <v>-2250000</v>
      </c>
      <c r="DY31" s="23" t="n">
        <f aca="false">IF(DY17=TRUE(),-(Capacity_MW*1000*OMCostPerKWYear)*(PeriodLengthMonths/MonthsPerYear),0)</f>
        <v>-2250000</v>
      </c>
      <c r="DZ31" s="23" t="n">
        <f aca="false">IF(DZ17=TRUE(),-(Capacity_MW*1000*OMCostPerKWYear)*(PeriodLengthMonths/MonthsPerYear),0)</f>
        <v>-2250000</v>
      </c>
      <c r="EA31" s="23" t="n">
        <f aca="false">IF(EA17=TRUE(),-(Capacity_MW*1000*OMCostPerKWYear)*(PeriodLengthMonths/MonthsPerYear),0)</f>
        <v>-2250000</v>
      </c>
      <c r="EB31" s="23" t="n">
        <f aca="false">IF(EB17=TRUE(),-(Capacity_MW*1000*OMCostPerKWYear)*(PeriodLengthMonths/MonthsPerYear),0)</f>
        <v>0</v>
      </c>
      <c r="EC31" s="23" t="n">
        <f aca="false">IF(EC17=TRUE(),-(Capacity_MW*1000*OMCostPerKWYear)*(PeriodLengthMonths/MonthsPerYear),0)</f>
        <v>0</v>
      </c>
      <c r="ED31" s="23" t="n">
        <f aca="false">IF(ED17=TRUE(),-(Capacity_MW*1000*OMCostPerKWYear)*(PeriodLengthMonths/MonthsPerYear),0)</f>
        <v>0</v>
      </c>
      <c r="EE31" s="23" t="n">
        <f aca="false">IF(EE17=TRUE(),-(Capacity_MW*1000*OMCostPerKWYear)*(PeriodLengthMonths/MonthsPerYear),0)</f>
        <v>0</v>
      </c>
      <c r="EF31" s="23" t="n">
        <f aca="false">IF(EF17=TRUE(),-(Capacity_MW*1000*OMCostPerKWYear)*(PeriodLengthMonths/MonthsPerYear),0)</f>
        <v>0</v>
      </c>
      <c r="EG31" s="23" t="n">
        <f aca="false">IF(EG17=TRUE(),-(Capacity_MW*1000*OMCostPerKWYear)*(PeriodLengthMonths/MonthsPerYear),0)</f>
        <v>0</v>
      </c>
      <c r="EH31" s="23" t="n">
        <f aca="false">IF(EH17=TRUE(),-(Capacity_MW*1000*OMCostPerKWYear)*(PeriodLengthMonths/MonthsPerYear),0)</f>
        <v>0</v>
      </c>
      <c r="EI31" s="23" t="n">
        <f aca="false">IF(EI17=TRUE(),-(Capacity_MW*1000*OMCostPerKWYear)*(PeriodLengthMonths/MonthsPerYear),0)</f>
        <v>0</v>
      </c>
      <c r="EJ31" s="23" t="n">
        <f aca="false">IF(EJ17=TRUE(),-(Capacity_MW*1000*OMCostPerKWYear)*(PeriodLengthMonths/MonthsPerYear),0)</f>
        <v>0</v>
      </c>
      <c r="EK31" s="23" t="n">
        <f aca="false">IF(EK17=TRUE(),-(Capacity_MW*1000*OMCostPerKWYear)*(PeriodLengthMonths/MonthsPerYear),0)</f>
        <v>0</v>
      </c>
      <c r="EL31" s="23" t="n">
        <f aca="false">IF(EL17=TRUE(),-(Capacity_MW*1000*OMCostPerKWYear)*(PeriodLengthMonths/MonthsPerYear),0)</f>
        <v>0</v>
      </c>
      <c r="EM31" s="23" t="n">
        <f aca="false">IF(EM17=TRUE(),-(Capacity_MW*1000*OMCostPerKWYear)*(PeriodLengthMonths/MonthsPerYear),0)</f>
        <v>0</v>
      </c>
      <c r="EN31" s="23" t="n">
        <f aca="false">IF(EN17=TRUE(),-(Capacity_MW*1000*OMCostPerKWYear)*(PeriodLengthMonths/MonthsPerYear),0)</f>
        <v>0</v>
      </c>
      <c r="EO31" s="23" t="n">
        <f aca="false">IF(EO17=TRUE(),-(Capacity_MW*1000*OMCostPerKWYear)*(PeriodLengthMonths/MonthsPerYear),0)</f>
        <v>0</v>
      </c>
      <c r="EP31" s="23" t="n">
        <f aca="false">IF(EP17=TRUE(),-(Capacity_MW*1000*OMCostPerKWYear)*(PeriodLengthMonths/MonthsPerYear),0)</f>
        <v>0</v>
      </c>
      <c r="EQ31" s="23" t="n">
        <f aca="false">IF(EQ17=TRUE(),-(Capacity_MW*1000*OMCostPerKWYear)*(PeriodLengthMonths/MonthsPerYear),0)</f>
        <v>0</v>
      </c>
      <c r="ER31" s="23" t="n">
        <f aca="false">IF(ER17=TRUE(),-(Capacity_MW*1000*OMCostPerKWYear)*(PeriodLengthMonths/MonthsPerYear),0)</f>
        <v>0</v>
      </c>
      <c r="ES31" s="23" t="n">
        <f aca="false">IF(ES17=TRUE(),-(Capacity_MW*1000*OMCostPerKWYear)*(PeriodLengthMonths/MonthsPerYear),0)</f>
        <v>0</v>
      </c>
      <c r="ET31" s="23" t="n">
        <f aca="false">IF(ET17=TRUE(),-(Capacity_MW*1000*OMCostPerKWYear)*(PeriodLengthMonths/MonthsPerYear),0)</f>
        <v>0</v>
      </c>
      <c r="EU31" s="23" t="n">
        <f aca="false">IF(EU17=TRUE(),-(Capacity_MW*1000*OMCostPerKWYear)*(PeriodLengthMonths/MonthsPerYear),0)</f>
        <v>0</v>
      </c>
      <c r="EV31" s="23" t="n">
        <f aca="false">IF(EV17=TRUE(),-(Capacity_MW*1000*OMCostPerKWYear)*(PeriodLengthMonths/MonthsPerYear),0)</f>
        <v>0</v>
      </c>
      <c r="EW31" s="23" t="n">
        <f aca="false">IF(EW17=TRUE(),-(Capacity_MW*1000*OMCostPerKWYear)*(PeriodLengthMonths/MonthsPerYear),0)</f>
        <v>0</v>
      </c>
      <c r="EX31" s="23" t="n">
        <f aca="false">IF(EX17=TRUE(),-(Capacity_MW*1000*OMCostPerKWYear)*(PeriodLengthMonths/MonthsPerYear),0)</f>
        <v>0</v>
      </c>
      <c r="EY31" s="23" t="n">
        <f aca="false">IF(EY17=TRUE(),-(Capacity_MW*1000*OMCostPerKWYear)*(PeriodLengthMonths/MonthsPerYear),0)</f>
        <v>0</v>
      </c>
      <c r="EZ31" s="23" t="n">
        <f aca="false">IF(EZ17=TRUE(),-(Capacity_MW*1000*OMCostPerKWYear)*(PeriodLengthMonths/MonthsPerYear),0)</f>
        <v>0</v>
      </c>
      <c r="FA31" s="23" t="n">
        <f aca="false">IF(FA17=TRUE(),-(Capacity_MW*1000*OMCostPerKWYear)*(PeriodLengthMonths/MonthsPerYear),0)</f>
        <v>0</v>
      </c>
      <c r="FB31" s="23" t="n">
        <f aca="false">IF(FB17=TRUE(),-(Capacity_MW*1000*OMCostPerKWYear)*(PeriodLengthMonths/MonthsPerYear),0)</f>
        <v>0</v>
      </c>
      <c r="FC31" s="23" t="n">
        <f aca="false">IF(FC17=TRUE(),-(Capacity_MW*1000*OMCostPerKWYear)*(PeriodLengthMonths/MonthsPerYear),0)</f>
        <v>0</v>
      </c>
      <c r="FD31" s="23" t="n">
        <f aca="false">IF(FD17=TRUE(),-(Capacity_MW*1000*OMCostPerKWYear)*(PeriodLengthMonths/MonthsPerYear),0)</f>
        <v>0</v>
      </c>
      <c r="FE31" s="23" t="n">
        <f aca="false">IF(FE17=TRUE(),-(Capacity_MW*1000*OMCostPerKWYear)*(PeriodLengthMonths/MonthsPerYear),0)</f>
        <v>0</v>
      </c>
      <c r="FF31" s="23" t="n">
        <f aca="false">IF(FF17=TRUE(),-(Capacity_MW*1000*OMCostPerKWYear)*(PeriodLengthMonths/MonthsPerYear),0)</f>
        <v>0</v>
      </c>
      <c r="FG31" s="23" t="n">
        <f aca="false">IF(FG17=TRUE(),-(Capacity_MW*1000*OMCostPerKWYear)*(PeriodLengthMonths/MonthsPerYear),0)</f>
        <v>0</v>
      </c>
      <c r="FH31" s="23" t="n">
        <f aca="false">IF(FH17=TRUE(),-(Capacity_MW*1000*OMCostPerKWYear)*(PeriodLengthMonths/MonthsPerYear),0)</f>
        <v>0</v>
      </c>
      <c r="FI31" s="23" t="n">
        <f aca="false">IF(FI17=TRUE(),-(Capacity_MW*1000*OMCostPerKWYear)*(PeriodLengthMonths/MonthsPerYear),0)</f>
        <v>0</v>
      </c>
      <c r="FJ31" s="23" t="n">
        <f aca="false">IF(FJ17=TRUE(),-(Capacity_MW*1000*OMCostPerKWYear)*(PeriodLengthMonths/MonthsPerYear),0)</f>
        <v>0</v>
      </c>
      <c r="FK31" s="23" t="n">
        <f aca="false">IF(FK17=TRUE(),-(Capacity_MW*1000*OMCostPerKWYear)*(PeriodLengthMonths/MonthsPerYear),0)</f>
        <v>0</v>
      </c>
    </row>
    <row r="32" customFormat="false" ht="15" hidden="false" customHeight="true" outlineLevel="0" collapsed="false">
      <c r="D32" s="21" t="s">
        <v>79</v>
      </c>
      <c r="E32" s="7" t="s">
        <v>28</v>
      </c>
      <c r="F32" s="22" t="n">
        <f aca="false">SUM(H32:FK32)</f>
        <v>-67500000</v>
      </c>
      <c r="H32" s="23" t="n">
        <f aca="false">IF(H17=TRUE(),-(TotalCapEx*InsurancePct)*(PeriodLengthMonths/MonthsPerYear),0)</f>
        <v>0</v>
      </c>
      <c r="I32" s="23" t="n">
        <f aca="false">IF(I17=TRUE(),-(TotalCapEx*InsurancePct)*(PeriodLengthMonths/MonthsPerYear),0)</f>
        <v>0</v>
      </c>
      <c r="J32" s="23" t="n">
        <f aca="false">IF(J17=TRUE(),-(TotalCapEx*InsurancePct)*(PeriodLengthMonths/MonthsPerYear),0)</f>
        <v>0</v>
      </c>
      <c r="K32" s="23" t="n">
        <f aca="false">IF(K17=TRUE(),-(TotalCapEx*InsurancePct)*(PeriodLengthMonths/MonthsPerYear),0)</f>
        <v>0</v>
      </c>
      <c r="L32" s="23" t="n">
        <f aca="false">IF(L17=TRUE(),-(TotalCapEx*InsurancePct)*(PeriodLengthMonths/MonthsPerYear),0)</f>
        <v>-562500</v>
      </c>
      <c r="M32" s="23" t="n">
        <f aca="false">IF(M17=TRUE(),-(TotalCapEx*InsurancePct)*(PeriodLengthMonths/MonthsPerYear),0)</f>
        <v>-562500</v>
      </c>
      <c r="N32" s="23" t="n">
        <f aca="false">IF(N17=TRUE(),-(TotalCapEx*InsurancePct)*(PeriodLengthMonths/MonthsPerYear),0)</f>
        <v>-562500</v>
      </c>
      <c r="O32" s="23" t="n">
        <f aca="false">IF(O17=TRUE(),-(TotalCapEx*InsurancePct)*(PeriodLengthMonths/MonthsPerYear),0)</f>
        <v>-562500</v>
      </c>
      <c r="P32" s="23" t="n">
        <f aca="false">IF(P17=TRUE(),-(TotalCapEx*InsurancePct)*(PeriodLengthMonths/MonthsPerYear),0)</f>
        <v>-562500</v>
      </c>
      <c r="Q32" s="23" t="n">
        <f aca="false">IF(Q17=TRUE(),-(TotalCapEx*InsurancePct)*(PeriodLengthMonths/MonthsPerYear),0)</f>
        <v>-562500</v>
      </c>
      <c r="R32" s="23" t="n">
        <f aca="false">IF(R17=TRUE(),-(TotalCapEx*InsurancePct)*(PeriodLengthMonths/MonthsPerYear),0)</f>
        <v>-562500</v>
      </c>
      <c r="S32" s="23" t="n">
        <f aca="false">IF(S17=TRUE(),-(TotalCapEx*InsurancePct)*(PeriodLengthMonths/MonthsPerYear),0)</f>
        <v>-562500</v>
      </c>
      <c r="T32" s="23" t="n">
        <f aca="false">IF(T17=TRUE(),-(TotalCapEx*InsurancePct)*(PeriodLengthMonths/MonthsPerYear),0)</f>
        <v>-562500</v>
      </c>
      <c r="U32" s="23" t="n">
        <f aca="false">IF(U17=TRUE(),-(TotalCapEx*InsurancePct)*(PeriodLengthMonths/MonthsPerYear),0)</f>
        <v>-562500</v>
      </c>
      <c r="V32" s="23" t="n">
        <f aca="false">IF(V17=TRUE(),-(TotalCapEx*InsurancePct)*(PeriodLengthMonths/MonthsPerYear),0)</f>
        <v>-562500</v>
      </c>
      <c r="W32" s="23" t="n">
        <f aca="false">IF(W17=TRUE(),-(TotalCapEx*InsurancePct)*(PeriodLengthMonths/MonthsPerYear),0)</f>
        <v>-562500</v>
      </c>
      <c r="X32" s="23" t="n">
        <f aca="false">IF(X17=TRUE(),-(TotalCapEx*InsurancePct)*(PeriodLengthMonths/MonthsPerYear),0)</f>
        <v>-562500</v>
      </c>
      <c r="Y32" s="23" t="n">
        <f aca="false">IF(Y17=TRUE(),-(TotalCapEx*InsurancePct)*(PeriodLengthMonths/MonthsPerYear),0)</f>
        <v>-562500</v>
      </c>
      <c r="Z32" s="23" t="n">
        <f aca="false">IF(Z17=TRUE(),-(TotalCapEx*InsurancePct)*(PeriodLengthMonths/MonthsPerYear),0)</f>
        <v>-562500</v>
      </c>
      <c r="AA32" s="23" t="n">
        <f aca="false">IF(AA17=TRUE(),-(TotalCapEx*InsurancePct)*(PeriodLengthMonths/MonthsPerYear),0)</f>
        <v>-562500</v>
      </c>
      <c r="AB32" s="23" t="n">
        <f aca="false">IF(AB17=TRUE(),-(TotalCapEx*InsurancePct)*(PeriodLengthMonths/MonthsPerYear),0)</f>
        <v>-562500</v>
      </c>
      <c r="AC32" s="23" t="n">
        <f aca="false">IF(AC17=TRUE(),-(TotalCapEx*InsurancePct)*(PeriodLengthMonths/MonthsPerYear),0)</f>
        <v>-562500</v>
      </c>
      <c r="AD32" s="23" t="n">
        <f aca="false">IF(AD17=TRUE(),-(TotalCapEx*InsurancePct)*(PeriodLengthMonths/MonthsPerYear),0)</f>
        <v>-562500</v>
      </c>
      <c r="AE32" s="23" t="n">
        <f aca="false">IF(AE17=TRUE(),-(TotalCapEx*InsurancePct)*(PeriodLengthMonths/MonthsPerYear),0)</f>
        <v>-562500</v>
      </c>
      <c r="AF32" s="23" t="n">
        <f aca="false">IF(AF17=TRUE(),-(TotalCapEx*InsurancePct)*(PeriodLengthMonths/MonthsPerYear),0)</f>
        <v>-562500</v>
      </c>
      <c r="AG32" s="23" t="n">
        <f aca="false">IF(AG17=TRUE(),-(TotalCapEx*InsurancePct)*(PeriodLengthMonths/MonthsPerYear),0)</f>
        <v>-562500</v>
      </c>
      <c r="AH32" s="23" t="n">
        <f aca="false">IF(AH17=TRUE(),-(TotalCapEx*InsurancePct)*(PeriodLengthMonths/MonthsPerYear),0)</f>
        <v>-562500</v>
      </c>
      <c r="AI32" s="23" t="n">
        <f aca="false">IF(AI17=TRUE(),-(TotalCapEx*InsurancePct)*(PeriodLengthMonths/MonthsPerYear),0)</f>
        <v>-562500</v>
      </c>
      <c r="AJ32" s="23" t="n">
        <f aca="false">IF(AJ17=TRUE(),-(TotalCapEx*InsurancePct)*(PeriodLengthMonths/MonthsPerYear),0)</f>
        <v>-562500</v>
      </c>
      <c r="AK32" s="23" t="n">
        <f aca="false">IF(AK17=TRUE(),-(TotalCapEx*InsurancePct)*(PeriodLengthMonths/MonthsPerYear),0)</f>
        <v>-562500</v>
      </c>
      <c r="AL32" s="23" t="n">
        <f aca="false">IF(AL17=TRUE(),-(TotalCapEx*InsurancePct)*(PeriodLengthMonths/MonthsPerYear),0)</f>
        <v>-562500</v>
      </c>
      <c r="AM32" s="23" t="n">
        <f aca="false">IF(AM17=TRUE(),-(TotalCapEx*InsurancePct)*(PeriodLengthMonths/MonthsPerYear),0)</f>
        <v>-562500</v>
      </c>
      <c r="AN32" s="23" t="n">
        <f aca="false">IF(AN17=TRUE(),-(TotalCapEx*InsurancePct)*(PeriodLengthMonths/MonthsPerYear),0)</f>
        <v>-562500</v>
      </c>
      <c r="AO32" s="23" t="n">
        <f aca="false">IF(AO17=TRUE(),-(TotalCapEx*InsurancePct)*(PeriodLengthMonths/MonthsPerYear),0)</f>
        <v>-562500</v>
      </c>
      <c r="AP32" s="23" t="n">
        <f aca="false">IF(AP17=TRUE(),-(TotalCapEx*InsurancePct)*(PeriodLengthMonths/MonthsPerYear),0)</f>
        <v>-562500</v>
      </c>
      <c r="AQ32" s="23" t="n">
        <f aca="false">IF(AQ17=TRUE(),-(TotalCapEx*InsurancePct)*(PeriodLengthMonths/MonthsPerYear),0)</f>
        <v>-562500</v>
      </c>
      <c r="AR32" s="23" t="n">
        <f aca="false">IF(AR17=TRUE(),-(TotalCapEx*InsurancePct)*(PeriodLengthMonths/MonthsPerYear),0)</f>
        <v>-562500</v>
      </c>
      <c r="AS32" s="23" t="n">
        <f aca="false">IF(AS17=TRUE(),-(TotalCapEx*InsurancePct)*(PeriodLengthMonths/MonthsPerYear),0)</f>
        <v>-562500</v>
      </c>
      <c r="AT32" s="23" t="n">
        <f aca="false">IF(AT17=TRUE(),-(TotalCapEx*InsurancePct)*(PeriodLengthMonths/MonthsPerYear),0)</f>
        <v>-562500</v>
      </c>
      <c r="AU32" s="23" t="n">
        <f aca="false">IF(AU17=TRUE(),-(TotalCapEx*InsurancePct)*(PeriodLengthMonths/MonthsPerYear),0)</f>
        <v>-562500</v>
      </c>
      <c r="AV32" s="23" t="n">
        <f aca="false">IF(AV17=TRUE(),-(TotalCapEx*InsurancePct)*(PeriodLengthMonths/MonthsPerYear),0)</f>
        <v>-562500</v>
      </c>
      <c r="AW32" s="23" t="n">
        <f aca="false">IF(AW17=TRUE(),-(TotalCapEx*InsurancePct)*(PeriodLengthMonths/MonthsPerYear),0)</f>
        <v>-562500</v>
      </c>
      <c r="AX32" s="23" t="n">
        <f aca="false">IF(AX17=TRUE(),-(TotalCapEx*InsurancePct)*(PeriodLengthMonths/MonthsPerYear),0)</f>
        <v>-562500</v>
      </c>
      <c r="AY32" s="23" t="n">
        <f aca="false">IF(AY17=TRUE(),-(TotalCapEx*InsurancePct)*(PeriodLengthMonths/MonthsPerYear),0)</f>
        <v>-562500</v>
      </c>
      <c r="AZ32" s="23" t="n">
        <f aca="false">IF(AZ17=TRUE(),-(TotalCapEx*InsurancePct)*(PeriodLengthMonths/MonthsPerYear),0)</f>
        <v>-562500</v>
      </c>
      <c r="BA32" s="23" t="n">
        <f aca="false">IF(BA17=TRUE(),-(TotalCapEx*InsurancePct)*(PeriodLengthMonths/MonthsPerYear),0)</f>
        <v>-562500</v>
      </c>
      <c r="BB32" s="23" t="n">
        <f aca="false">IF(BB17=TRUE(),-(TotalCapEx*InsurancePct)*(PeriodLengthMonths/MonthsPerYear),0)</f>
        <v>-562500</v>
      </c>
      <c r="BC32" s="23" t="n">
        <f aca="false">IF(BC17=TRUE(),-(TotalCapEx*InsurancePct)*(PeriodLengthMonths/MonthsPerYear),0)</f>
        <v>-562500</v>
      </c>
      <c r="BD32" s="23" t="n">
        <f aca="false">IF(BD17=TRUE(),-(TotalCapEx*InsurancePct)*(PeriodLengthMonths/MonthsPerYear),0)</f>
        <v>-562500</v>
      </c>
      <c r="BE32" s="23" t="n">
        <f aca="false">IF(BE17=TRUE(),-(TotalCapEx*InsurancePct)*(PeriodLengthMonths/MonthsPerYear),0)</f>
        <v>-562500</v>
      </c>
      <c r="BF32" s="23" t="n">
        <f aca="false">IF(BF17=TRUE(),-(TotalCapEx*InsurancePct)*(PeriodLengthMonths/MonthsPerYear),0)</f>
        <v>-562500</v>
      </c>
      <c r="BG32" s="23" t="n">
        <f aca="false">IF(BG17=TRUE(),-(TotalCapEx*InsurancePct)*(PeriodLengthMonths/MonthsPerYear),0)</f>
        <v>-562500</v>
      </c>
      <c r="BH32" s="23" t="n">
        <f aca="false">IF(BH17=TRUE(),-(TotalCapEx*InsurancePct)*(PeriodLengthMonths/MonthsPerYear),0)</f>
        <v>-562500</v>
      </c>
      <c r="BI32" s="23" t="n">
        <f aca="false">IF(BI17=TRUE(),-(TotalCapEx*InsurancePct)*(PeriodLengthMonths/MonthsPerYear),0)</f>
        <v>-562500</v>
      </c>
      <c r="BJ32" s="23" t="n">
        <f aca="false">IF(BJ17=TRUE(),-(TotalCapEx*InsurancePct)*(PeriodLengthMonths/MonthsPerYear),0)</f>
        <v>-562500</v>
      </c>
      <c r="BK32" s="23" t="n">
        <f aca="false">IF(BK17=TRUE(),-(TotalCapEx*InsurancePct)*(PeriodLengthMonths/MonthsPerYear),0)</f>
        <v>-562500</v>
      </c>
      <c r="BL32" s="23" t="n">
        <f aca="false">IF(BL17=TRUE(),-(TotalCapEx*InsurancePct)*(PeriodLengthMonths/MonthsPerYear),0)</f>
        <v>-562500</v>
      </c>
      <c r="BM32" s="23" t="n">
        <f aca="false">IF(BM17=TRUE(),-(TotalCapEx*InsurancePct)*(PeriodLengthMonths/MonthsPerYear),0)</f>
        <v>-562500</v>
      </c>
      <c r="BN32" s="23" t="n">
        <f aca="false">IF(BN17=TRUE(),-(TotalCapEx*InsurancePct)*(PeriodLengthMonths/MonthsPerYear),0)</f>
        <v>-562500</v>
      </c>
      <c r="BO32" s="23" t="n">
        <f aca="false">IF(BO17=TRUE(),-(TotalCapEx*InsurancePct)*(PeriodLengthMonths/MonthsPerYear),0)</f>
        <v>-562500</v>
      </c>
      <c r="BP32" s="23" t="n">
        <f aca="false">IF(BP17=TRUE(),-(TotalCapEx*InsurancePct)*(PeriodLengthMonths/MonthsPerYear),0)</f>
        <v>-562500</v>
      </c>
      <c r="BQ32" s="23" t="n">
        <f aca="false">IF(BQ17=TRUE(),-(TotalCapEx*InsurancePct)*(PeriodLengthMonths/MonthsPerYear),0)</f>
        <v>-562500</v>
      </c>
      <c r="BR32" s="23" t="n">
        <f aca="false">IF(BR17=TRUE(),-(TotalCapEx*InsurancePct)*(PeriodLengthMonths/MonthsPerYear),0)</f>
        <v>-562500</v>
      </c>
      <c r="BS32" s="23" t="n">
        <f aca="false">IF(BS17=TRUE(),-(TotalCapEx*InsurancePct)*(PeriodLengthMonths/MonthsPerYear),0)</f>
        <v>-562500</v>
      </c>
      <c r="BT32" s="23" t="n">
        <f aca="false">IF(BT17=TRUE(),-(TotalCapEx*InsurancePct)*(PeriodLengthMonths/MonthsPerYear),0)</f>
        <v>-562500</v>
      </c>
      <c r="BU32" s="23" t="n">
        <f aca="false">IF(BU17=TRUE(),-(TotalCapEx*InsurancePct)*(PeriodLengthMonths/MonthsPerYear),0)</f>
        <v>-562500</v>
      </c>
      <c r="BV32" s="23" t="n">
        <f aca="false">IF(BV17=TRUE(),-(TotalCapEx*InsurancePct)*(PeriodLengthMonths/MonthsPerYear),0)</f>
        <v>-562500</v>
      </c>
      <c r="BW32" s="23" t="n">
        <f aca="false">IF(BW17=TRUE(),-(TotalCapEx*InsurancePct)*(PeriodLengthMonths/MonthsPerYear),0)</f>
        <v>-562500</v>
      </c>
      <c r="BX32" s="23" t="n">
        <f aca="false">IF(BX17=TRUE(),-(TotalCapEx*InsurancePct)*(PeriodLengthMonths/MonthsPerYear),0)</f>
        <v>-562500</v>
      </c>
      <c r="BY32" s="23" t="n">
        <f aca="false">IF(BY17=TRUE(),-(TotalCapEx*InsurancePct)*(PeriodLengthMonths/MonthsPerYear),0)</f>
        <v>-562500</v>
      </c>
      <c r="BZ32" s="23" t="n">
        <f aca="false">IF(BZ17=TRUE(),-(TotalCapEx*InsurancePct)*(PeriodLengthMonths/MonthsPerYear),0)</f>
        <v>-562500</v>
      </c>
      <c r="CA32" s="23" t="n">
        <f aca="false">IF(CA17=TRUE(),-(TotalCapEx*InsurancePct)*(PeriodLengthMonths/MonthsPerYear),0)</f>
        <v>-562500</v>
      </c>
      <c r="CB32" s="23" t="n">
        <f aca="false">IF(CB17=TRUE(),-(TotalCapEx*InsurancePct)*(PeriodLengthMonths/MonthsPerYear),0)</f>
        <v>-562500</v>
      </c>
      <c r="CC32" s="23" t="n">
        <f aca="false">IF(CC17=TRUE(),-(TotalCapEx*InsurancePct)*(PeriodLengthMonths/MonthsPerYear),0)</f>
        <v>-562500</v>
      </c>
      <c r="CD32" s="23" t="n">
        <f aca="false">IF(CD17=TRUE(),-(TotalCapEx*InsurancePct)*(PeriodLengthMonths/MonthsPerYear),0)</f>
        <v>-562500</v>
      </c>
      <c r="CE32" s="23" t="n">
        <f aca="false">IF(CE17=TRUE(),-(TotalCapEx*InsurancePct)*(PeriodLengthMonths/MonthsPerYear),0)</f>
        <v>-562500</v>
      </c>
      <c r="CF32" s="23" t="n">
        <f aca="false">IF(CF17=TRUE(),-(TotalCapEx*InsurancePct)*(PeriodLengthMonths/MonthsPerYear),0)</f>
        <v>-562500</v>
      </c>
      <c r="CG32" s="23" t="n">
        <f aca="false">IF(CG17=TRUE(),-(TotalCapEx*InsurancePct)*(PeriodLengthMonths/MonthsPerYear),0)</f>
        <v>-562500</v>
      </c>
      <c r="CH32" s="23" t="n">
        <f aca="false">IF(CH17=TRUE(),-(TotalCapEx*InsurancePct)*(PeriodLengthMonths/MonthsPerYear),0)</f>
        <v>-562500</v>
      </c>
      <c r="CI32" s="23" t="n">
        <f aca="false">IF(CI17=TRUE(),-(TotalCapEx*InsurancePct)*(PeriodLengthMonths/MonthsPerYear),0)</f>
        <v>-562500</v>
      </c>
      <c r="CJ32" s="23" t="n">
        <f aca="false">IF(CJ17=TRUE(),-(TotalCapEx*InsurancePct)*(PeriodLengthMonths/MonthsPerYear),0)</f>
        <v>-562500</v>
      </c>
      <c r="CK32" s="23" t="n">
        <f aca="false">IF(CK17=TRUE(),-(TotalCapEx*InsurancePct)*(PeriodLengthMonths/MonthsPerYear),0)</f>
        <v>-562500</v>
      </c>
      <c r="CL32" s="23" t="n">
        <f aca="false">IF(CL17=TRUE(),-(TotalCapEx*InsurancePct)*(PeriodLengthMonths/MonthsPerYear),0)</f>
        <v>-562500</v>
      </c>
      <c r="CM32" s="23" t="n">
        <f aca="false">IF(CM17=TRUE(),-(TotalCapEx*InsurancePct)*(PeriodLengthMonths/MonthsPerYear),0)</f>
        <v>-562500</v>
      </c>
      <c r="CN32" s="23" t="n">
        <f aca="false">IF(CN17=TRUE(),-(TotalCapEx*InsurancePct)*(PeriodLengthMonths/MonthsPerYear),0)</f>
        <v>-562500</v>
      </c>
      <c r="CO32" s="23" t="n">
        <f aca="false">IF(CO17=TRUE(),-(TotalCapEx*InsurancePct)*(PeriodLengthMonths/MonthsPerYear),0)</f>
        <v>-562500</v>
      </c>
      <c r="CP32" s="23" t="n">
        <f aca="false">IF(CP17=TRUE(),-(TotalCapEx*InsurancePct)*(PeriodLengthMonths/MonthsPerYear),0)</f>
        <v>-562500</v>
      </c>
      <c r="CQ32" s="23" t="n">
        <f aca="false">IF(CQ17=TRUE(),-(TotalCapEx*InsurancePct)*(PeriodLengthMonths/MonthsPerYear),0)</f>
        <v>-562500</v>
      </c>
      <c r="CR32" s="23" t="n">
        <f aca="false">IF(CR17=TRUE(),-(TotalCapEx*InsurancePct)*(PeriodLengthMonths/MonthsPerYear),0)</f>
        <v>-562500</v>
      </c>
      <c r="CS32" s="23" t="n">
        <f aca="false">IF(CS17=TRUE(),-(TotalCapEx*InsurancePct)*(PeriodLengthMonths/MonthsPerYear),0)</f>
        <v>-562500</v>
      </c>
      <c r="CT32" s="23" t="n">
        <f aca="false">IF(CT17=TRUE(),-(TotalCapEx*InsurancePct)*(PeriodLengthMonths/MonthsPerYear),0)</f>
        <v>-562500</v>
      </c>
      <c r="CU32" s="23" t="n">
        <f aca="false">IF(CU17=TRUE(),-(TotalCapEx*InsurancePct)*(PeriodLengthMonths/MonthsPerYear),0)</f>
        <v>-562500</v>
      </c>
      <c r="CV32" s="23" t="n">
        <f aca="false">IF(CV17=TRUE(),-(TotalCapEx*InsurancePct)*(PeriodLengthMonths/MonthsPerYear),0)</f>
        <v>-562500</v>
      </c>
      <c r="CW32" s="23" t="n">
        <f aca="false">IF(CW17=TRUE(),-(TotalCapEx*InsurancePct)*(PeriodLengthMonths/MonthsPerYear),0)</f>
        <v>-562500</v>
      </c>
      <c r="CX32" s="23" t="n">
        <f aca="false">IF(CX17=TRUE(),-(TotalCapEx*InsurancePct)*(PeriodLengthMonths/MonthsPerYear),0)</f>
        <v>-562500</v>
      </c>
      <c r="CY32" s="23" t="n">
        <f aca="false">IF(CY17=TRUE(),-(TotalCapEx*InsurancePct)*(PeriodLengthMonths/MonthsPerYear),0)</f>
        <v>-562500</v>
      </c>
      <c r="CZ32" s="23" t="n">
        <f aca="false">IF(CZ17=TRUE(),-(TotalCapEx*InsurancePct)*(PeriodLengthMonths/MonthsPerYear),0)</f>
        <v>-562500</v>
      </c>
      <c r="DA32" s="23" t="n">
        <f aca="false">IF(DA17=TRUE(),-(TotalCapEx*InsurancePct)*(PeriodLengthMonths/MonthsPerYear),0)</f>
        <v>-562500</v>
      </c>
      <c r="DB32" s="23" t="n">
        <f aca="false">IF(DB17=TRUE(),-(TotalCapEx*InsurancePct)*(PeriodLengthMonths/MonthsPerYear),0)</f>
        <v>-562500</v>
      </c>
      <c r="DC32" s="23" t="n">
        <f aca="false">IF(DC17=TRUE(),-(TotalCapEx*InsurancePct)*(PeriodLengthMonths/MonthsPerYear),0)</f>
        <v>-562500</v>
      </c>
      <c r="DD32" s="23" t="n">
        <f aca="false">IF(DD17=TRUE(),-(TotalCapEx*InsurancePct)*(PeriodLengthMonths/MonthsPerYear),0)</f>
        <v>-562500</v>
      </c>
      <c r="DE32" s="23" t="n">
        <f aca="false">IF(DE17=TRUE(),-(TotalCapEx*InsurancePct)*(PeriodLengthMonths/MonthsPerYear),0)</f>
        <v>-562500</v>
      </c>
      <c r="DF32" s="23" t="n">
        <f aca="false">IF(DF17=TRUE(),-(TotalCapEx*InsurancePct)*(PeriodLengthMonths/MonthsPerYear),0)</f>
        <v>-562500</v>
      </c>
      <c r="DG32" s="23" t="n">
        <f aca="false">IF(DG17=TRUE(),-(TotalCapEx*InsurancePct)*(PeriodLengthMonths/MonthsPerYear),0)</f>
        <v>-562500</v>
      </c>
      <c r="DH32" s="23" t="n">
        <f aca="false">IF(DH17=TRUE(),-(TotalCapEx*InsurancePct)*(PeriodLengthMonths/MonthsPerYear),0)</f>
        <v>-562500</v>
      </c>
      <c r="DI32" s="23" t="n">
        <f aca="false">IF(DI17=TRUE(),-(TotalCapEx*InsurancePct)*(PeriodLengthMonths/MonthsPerYear),0)</f>
        <v>-562500</v>
      </c>
      <c r="DJ32" s="23" t="n">
        <f aca="false">IF(DJ17=TRUE(),-(TotalCapEx*InsurancePct)*(PeriodLengthMonths/MonthsPerYear),0)</f>
        <v>-562500</v>
      </c>
      <c r="DK32" s="23" t="n">
        <f aca="false">IF(DK17=TRUE(),-(TotalCapEx*InsurancePct)*(PeriodLengthMonths/MonthsPerYear),0)</f>
        <v>-562500</v>
      </c>
      <c r="DL32" s="23" t="n">
        <f aca="false">IF(DL17=TRUE(),-(TotalCapEx*InsurancePct)*(PeriodLengthMonths/MonthsPerYear),0)</f>
        <v>-562500</v>
      </c>
      <c r="DM32" s="23" t="n">
        <f aca="false">IF(DM17=TRUE(),-(TotalCapEx*InsurancePct)*(PeriodLengthMonths/MonthsPerYear),0)</f>
        <v>-562500</v>
      </c>
      <c r="DN32" s="23" t="n">
        <f aca="false">IF(DN17=TRUE(),-(TotalCapEx*InsurancePct)*(PeriodLengthMonths/MonthsPerYear),0)</f>
        <v>-562500</v>
      </c>
      <c r="DO32" s="23" t="n">
        <f aca="false">IF(DO17=TRUE(),-(TotalCapEx*InsurancePct)*(PeriodLengthMonths/MonthsPerYear),0)</f>
        <v>-562500</v>
      </c>
      <c r="DP32" s="23" t="n">
        <f aca="false">IF(DP17=TRUE(),-(TotalCapEx*InsurancePct)*(PeriodLengthMonths/MonthsPerYear),0)</f>
        <v>-562500</v>
      </c>
      <c r="DQ32" s="23" t="n">
        <f aca="false">IF(DQ17=TRUE(),-(TotalCapEx*InsurancePct)*(PeriodLengthMonths/MonthsPerYear),0)</f>
        <v>-562500</v>
      </c>
      <c r="DR32" s="23" t="n">
        <f aca="false">IF(DR17=TRUE(),-(TotalCapEx*InsurancePct)*(PeriodLengthMonths/MonthsPerYear),0)</f>
        <v>-562500</v>
      </c>
      <c r="DS32" s="23" t="n">
        <f aca="false">IF(DS17=TRUE(),-(TotalCapEx*InsurancePct)*(PeriodLengthMonths/MonthsPerYear),0)</f>
        <v>-562500</v>
      </c>
      <c r="DT32" s="23" t="n">
        <f aca="false">IF(DT17=TRUE(),-(TotalCapEx*InsurancePct)*(PeriodLengthMonths/MonthsPerYear),0)</f>
        <v>-562500</v>
      </c>
      <c r="DU32" s="23" t="n">
        <f aca="false">IF(DU17=TRUE(),-(TotalCapEx*InsurancePct)*(PeriodLengthMonths/MonthsPerYear),0)</f>
        <v>-562500</v>
      </c>
      <c r="DV32" s="23" t="n">
        <f aca="false">IF(DV17=TRUE(),-(TotalCapEx*InsurancePct)*(PeriodLengthMonths/MonthsPerYear),0)</f>
        <v>-562500</v>
      </c>
      <c r="DW32" s="23" t="n">
        <f aca="false">IF(DW17=TRUE(),-(TotalCapEx*InsurancePct)*(PeriodLengthMonths/MonthsPerYear),0)</f>
        <v>-562500</v>
      </c>
      <c r="DX32" s="23" t="n">
        <f aca="false">IF(DX17=TRUE(),-(TotalCapEx*InsurancePct)*(PeriodLengthMonths/MonthsPerYear),0)</f>
        <v>-562500</v>
      </c>
      <c r="DY32" s="23" t="n">
        <f aca="false">IF(DY17=TRUE(),-(TotalCapEx*InsurancePct)*(PeriodLengthMonths/MonthsPerYear),0)</f>
        <v>-562500</v>
      </c>
      <c r="DZ32" s="23" t="n">
        <f aca="false">IF(DZ17=TRUE(),-(TotalCapEx*InsurancePct)*(PeriodLengthMonths/MonthsPerYear),0)</f>
        <v>-562500</v>
      </c>
      <c r="EA32" s="23" t="n">
        <f aca="false">IF(EA17=TRUE(),-(TotalCapEx*InsurancePct)*(PeriodLengthMonths/MonthsPerYear),0)</f>
        <v>-562500</v>
      </c>
      <c r="EB32" s="23" t="n">
        <f aca="false">IF(EB17=TRUE(),-(TotalCapEx*InsurancePct)*(PeriodLengthMonths/MonthsPerYear),0)</f>
        <v>0</v>
      </c>
      <c r="EC32" s="23" t="n">
        <f aca="false">IF(EC17=TRUE(),-(TotalCapEx*InsurancePct)*(PeriodLengthMonths/MonthsPerYear),0)</f>
        <v>0</v>
      </c>
      <c r="ED32" s="23" t="n">
        <f aca="false">IF(ED17=TRUE(),-(TotalCapEx*InsurancePct)*(PeriodLengthMonths/MonthsPerYear),0)</f>
        <v>0</v>
      </c>
      <c r="EE32" s="23" t="n">
        <f aca="false">IF(EE17=TRUE(),-(TotalCapEx*InsurancePct)*(PeriodLengthMonths/MonthsPerYear),0)</f>
        <v>0</v>
      </c>
      <c r="EF32" s="23" t="n">
        <f aca="false">IF(EF17=TRUE(),-(TotalCapEx*InsurancePct)*(PeriodLengthMonths/MonthsPerYear),0)</f>
        <v>0</v>
      </c>
      <c r="EG32" s="23" t="n">
        <f aca="false">IF(EG17=TRUE(),-(TotalCapEx*InsurancePct)*(PeriodLengthMonths/MonthsPerYear),0)</f>
        <v>0</v>
      </c>
      <c r="EH32" s="23" t="n">
        <f aca="false">IF(EH17=TRUE(),-(TotalCapEx*InsurancePct)*(PeriodLengthMonths/MonthsPerYear),0)</f>
        <v>0</v>
      </c>
      <c r="EI32" s="23" t="n">
        <f aca="false">IF(EI17=TRUE(),-(TotalCapEx*InsurancePct)*(PeriodLengthMonths/MonthsPerYear),0)</f>
        <v>0</v>
      </c>
      <c r="EJ32" s="23" t="n">
        <f aca="false">IF(EJ17=TRUE(),-(TotalCapEx*InsurancePct)*(PeriodLengthMonths/MonthsPerYear),0)</f>
        <v>0</v>
      </c>
      <c r="EK32" s="23" t="n">
        <f aca="false">IF(EK17=TRUE(),-(TotalCapEx*InsurancePct)*(PeriodLengthMonths/MonthsPerYear),0)</f>
        <v>0</v>
      </c>
      <c r="EL32" s="23" t="n">
        <f aca="false">IF(EL17=TRUE(),-(TotalCapEx*InsurancePct)*(PeriodLengthMonths/MonthsPerYear),0)</f>
        <v>0</v>
      </c>
      <c r="EM32" s="23" t="n">
        <f aca="false">IF(EM17=TRUE(),-(TotalCapEx*InsurancePct)*(PeriodLengthMonths/MonthsPerYear),0)</f>
        <v>0</v>
      </c>
      <c r="EN32" s="23" t="n">
        <f aca="false">IF(EN17=TRUE(),-(TotalCapEx*InsurancePct)*(PeriodLengthMonths/MonthsPerYear),0)</f>
        <v>0</v>
      </c>
      <c r="EO32" s="23" t="n">
        <f aca="false">IF(EO17=TRUE(),-(TotalCapEx*InsurancePct)*(PeriodLengthMonths/MonthsPerYear),0)</f>
        <v>0</v>
      </c>
      <c r="EP32" s="23" t="n">
        <f aca="false">IF(EP17=TRUE(),-(TotalCapEx*InsurancePct)*(PeriodLengthMonths/MonthsPerYear),0)</f>
        <v>0</v>
      </c>
      <c r="EQ32" s="23" t="n">
        <f aca="false">IF(EQ17=TRUE(),-(TotalCapEx*InsurancePct)*(PeriodLengthMonths/MonthsPerYear),0)</f>
        <v>0</v>
      </c>
      <c r="ER32" s="23" t="n">
        <f aca="false">IF(ER17=TRUE(),-(TotalCapEx*InsurancePct)*(PeriodLengthMonths/MonthsPerYear),0)</f>
        <v>0</v>
      </c>
      <c r="ES32" s="23" t="n">
        <f aca="false">IF(ES17=TRUE(),-(TotalCapEx*InsurancePct)*(PeriodLengthMonths/MonthsPerYear),0)</f>
        <v>0</v>
      </c>
      <c r="ET32" s="23" t="n">
        <f aca="false">IF(ET17=TRUE(),-(TotalCapEx*InsurancePct)*(PeriodLengthMonths/MonthsPerYear),0)</f>
        <v>0</v>
      </c>
      <c r="EU32" s="23" t="n">
        <f aca="false">IF(EU17=TRUE(),-(TotalCapEx*InsurancePct)*(PeriodLengthMonths/MonthsPerYear),0)</f>
        <v>0</v>
      </c>
      <c r="EV32" s="23" t="n">
        <f aca="false">IF(EV17=TRUE(),-(TotalCapEx*InsurancePct)*(PeriodLengthMonths/MonthsPerYear),0)</f>
        <v>0</v>
      </c>
      <c r="EW32" s="23" t="n">
        <f aca="false">IF(EW17=TRUE(),-(TotalCapEx*InsurancePct)*(PeriodLengthMonths/MonthsPerYear),0)</f>
        <v>0</v>
      </c>
      <c r="EX32" s="23" t="n">
        <f aca="false">IF(EX17=TRUE(),-(TotalCapEx*InsurancePct)*(PeriodLengthMonths/MonthsPerYear),0)</f>
        <v>0</v>
      </c>
      <c r="EY32" s="23" t="n">
        <f aca="false">IF(EY17=TRUE(),-(TotalCapEx*InsurancePct)*(PeriodLengthMonths/MonthsPerYear),0)</f>
        <v>0</v>
      </c>
      <c r="EZ32" s="23" t="n">
        <f aca="false">IF(EZ17=TRUE(),-(TotalCapEx*InsurancePct)*(PeriodLengthMonths/MonthsPerYear),0)</f>
        <v>0</v>
      </c>
      <c r="FA32" s="23" t="n">
        <f aca="false">IF(FA17=TRUE(),-(TotalCapEx*InsurancePct)*(PeriodLengthMonths/MonthsPerYear),0)</f>
        <v>0</v>
      </c>
      <c r="FB32" s="23" t="n">
        <f aca="false">IF(FB17=TRUE(),-(TotalCapEx*InsurancePct)*(PeriodLengthMonths/MonthsPerYear),0)</f>
        <v>0</v>
      </c>
      <c r="FC32" s="23" t="n">
        <f aca="false">IF(FC17=TRUE(),-(TotalCapEx*InsurancePct)*(PeriodLengthMonths/MonthsPerYear),0)</f>
        <v>0</v>
      </c>
      <c r="FD32" s="23" t="n">
        <f aca="false">IF(FD17=TRUE(),-(TotalCapEx*InsurancePct)*(PeriodLengthMonths/MonthsPerYear),0)</f>
        <v>0</v>
      </c>
      <c r="FE32" s="23" t="n">
        <f aca="false">IF(FE17=TRUE(),-(TotalCapEx*InsurancePct)*(PeriodLengthMonths/MonthsPerYear),0)</f>
        <v>0</v>
      </c>
      <c r="FF32" s="23" t="n">
        <f aca="false">IF(FF17=TRUE(),-(TotalCapEx*InsurancePct)*(PeriodLengthMonths/MonthsPerYear),0)</f>
        <v>0</v>
      </c>
      <c r="FG32" s="23" t="n">
        <f aca="false">IF(FG17=TRUE(),-(TotalCapEx*InsurancePct)*(PeriodLengthMonths/MonthsPerYear),0)</f>
        <v>0</v>
      </c>
      <c r="FH32" s="23" t="n">
        <f aca="false">IF(FH17=TRUE(),-(TotalCapEx*InsurancePct)*(PeriodLengthMonths/MonthsPerYear),0)</f>
        <v>0</v>
      </c>
      <c r="FI32" s="23" t="n">
        <f aca="false">IF(FI17=TRUE(),-(TotalCapEx*InsurancePct)*(PeriodLengthMonths/MonthsPerYear),0)</f>
        <v>0</v>
      </c>
      <c r="FJ32" s="23" t="n">
        <f aca="false">IF(FJ17=TRUE(),-(TotalCapEx*InsurancePct)*(PeriodLengthMonths/MonthsPerYear),0)</f>
        <v>0</v>
      </c>
      <c r="FK32" s="23" t="n">
        <f aca="false">IF(FK17=TRUE(),-(TotalCapEx*InsurancePct)*(PeriodLengthMonths/MonthsPerYear),0)</f>
        <v>0</v>
      </c>
    </row>
    <row r="33" customFormat="false" ht="15" hidden="false" customHeight="true" outlineLevel="0" collapsed="false">
      <c r="D33" s="21" t="s">
        <v>80</v>
      </c>
      <c r="E33" s="7" t="s">
        <v>28</v>
      </c>
      <c r="F33" s="22" t="n">
        <f aca="false">SUM(H33:FK33)</f>
        <v>-60000000</v>
      </c>
      <c r="H33" s="23" t="n">
        <f aca="false">IF(H17=TRUE(),-(LandLeasePerYear)*(PeriodLengthMonths/MonthsPerYear),0)</f>
        <v>0</v>
      </c>
      <c r="I33" s="23" t="n">
        <f aca="false">IF(I17=TRUE(),-(LandLeasePerYear)*(PeriodLengthMonths/MonthsPerYear),0)</f>
        <v>0</v>
      </c>
      <c r="J33" s="23" t="n">
        <f aca="false">IF(J17=TRUE(),-(LandLeasePerYear)*(PeriodLengthMonths/MonthsPerYear),0)</f>
        <v>0</v>
      </c>
      <c r="K33" s="23" t="n">
        <f aca="false">IF(K17=TRUE(),-(LandLeasePerYear)*(PeriodLengthMonths/MonthsPerYear),0)</f>
        <v>0</v>
      </c>
      <c r="L33" s="23" t="n">
        <f aca="false">IF(L17=TRUE(),-(LandLeasePerYear)*(PeriodLengthMonths/MonthsPerYear),0)</f>
        <v>-500000</v>
      </c>
      <c r="M33" s="23" t="n">
        <f aca="false">IF(M17=TRUE(),-(LandLeasePerYear)*(PeriodLengthMonths/MonthsPerYear),0)</f>
        <v>-500000</v>
      </c>
      <c r="N33" s="23" t="n">
        <f aca="false">IF(N17=TRUE(),-(LandLeasePerYear)*(PeriodLengthMonths/MonthsPerYear),0)</f>
        <v>-500000</v>
      </c>
      <c r="O33" s="23" t="n">
        <f aca="false">IF(O17=TRUE(),-(LandLeasePerYear)*(PeriodLengthMonths/MonthsPerYear),0)</f>
        <v>-500000</v>
      </c>
      <c r="P33" s="23" t="n">
        <f aca="false">IF(P17=TRUE(),-(LandLeasePerYear)*(PeriodLengthMonths/MonthsPerYear),0)</f>
        <v>-500000</v>
      </c>
      <c r="Q33" s="23" t="n">
        <f aca="false">IF(Q17=TRUE(),-(LandLeasePerYear)*(PeriodLengthMonths/MonthsPerYear),0)</f>
        <v>-500000</v>
      </c>
      <c r="R33" s="23" t="n">
        <f aca="false">IF(R17=TRUE(),-(LandLeasePerYear)*(PeriodLengthMonths/MonthsPerYear),0)</f>
        <v>-500000</v>
      </c>
      <c r="S33" s="23" t="n">
        <f aca="false">IF(S17=TRUE(),-(LandLeasePerYear)*(PeriodLengthMonths/MonthsPerYear),0)</f>
        <v>-500000</v>
      </c>
      <c r="T33" s="23" t="n">
        <f aca="false">IF(T17=TRUE(),-(LandLeasePerYear)*(PeriodLengthMonths/MonthsPerYear),0)</f>
        <v>-500000</v>
      </c>
      <c r="U33" s="23" t="n">
        <f aca="false">IF(U17=TRUE(),-(LandLeasePerYear)*(PeriodLengthMonths/MonthsPerYear),0)</f>
        <v>-500000</v>
      </c>
      <c r="V33" s="23" t="n">
        <f aca="false">IF(V17=TRUE(),-(LandLeasePerYear)*(PeriodLengthMonths/MonthsPerYear),0)</f>
        <v>-500000</v>
      </c>
      <c r="W33" s="23" t="n">
        <f aca="false">IF(W17=TRUE(),-(LandLeasePerYear)*(PeriodLengthMonths/MonthsPerYear),0)</f>
        <v>-500000</v>
      </c>
      <c r="X33" s="23" t="n">
        <f aca="false">IF(X17=TRUE(),-(LandLeasePerYear)*(PeriodLengthMonths/MonthsPerYear),0)</f>
        <v>-500000</v>
      </c>
      <c r="Y33" s="23" t="n">
        <f aca="false">IF(Y17=TRUE(),-(LandLeasePerYear)*(PeriodLengthMonths/MonthsPerYear),0)</f>
        <v>-500000</v>
      </c>
      <c r="Z33" s="23" t="n">
        <f aca="false">IF(Z17=TRUE(),-(LandLeasePerYear)*(PeriodLengthMonths/MonthsPerYear),0)</f>
        <v>-500000</v>
      </c>
      <c r="AA33" s="23" t="n">
        <f aca="false">IF(AA17=TRUE(),-(LandLeasePerYear)*(PeriodLengthMonths/MonthsPerYear),0)</f>
        <v>-500000</v>
      </c>
      <c r="AB33" s="23" t="n">
        <f aca="false">IF(AB17=TRUE(),-(LandLeasePerYear)*(PeriodLengthMonths/MonthsPerYear),0)</f>
        <v>-500000</v>
      </c>
      <c r="AC33" s="23" t="n">
        <f aca="false">IF(AC17=TRUE(),-(LandLeasePerYear)*(PeriodLengthMonths/MonthsPerYear),0)</f>
        <v>-500000</v>
      </c>
      <c r="AD33" s="23" t="n">
        <f aca="false">IF(AD17=TRUE(),-(LandLeasePerYear)*(PeriodLengthMonths/MonthsPerYear),0)</f>
        <v>-500000</v>
      </c>
      <c r="AE33" s="23" t="n">
        <f aca="false">IF(AE17=TRUE(),-(LandLeasePerYear)*(PeriodLengthMonths/MonthsPerYear),0)</f>
        <v>-500000</v>
      </c>
      <c r="AF33" s="23" t="n">
        <f aca="false">IF(AF17=TRUE(),-(LandLeasePerYear)*(PeriodLengthMonths/MonthsPerYear),0)</f>
        <v>-500000</v>
      </c>
      <c r="AG33" s="23" t="n">
        <f aca="false">IF(AG17=TRUE(),-(LandLeasePerYear)*(PeriodLengthMonths/MonthsPerYear),0)</f>
        <v>-500000</v>
      </c>
      <c r="AH33" s="23" t="n">
        <f aca="false">IF(AH17=TRUE(),-(LandLeasePerYear)*(PeriodLengthMonths/MonthsPerYear),0)</f>
        <v>-500000</v>
      </c>
      <c r="AI33" s="23" t="n">
        <f aca="false">IF(AI17=TRUE(),-(LandLeasePerYear)*(PeriodLengthMonths/MonthsPerYear),0)</f>
        <v>-500000</v>
      </c>
      <c r="AJ33" s="23" t="n">
        <f aca="false">IF(AJ17=TRUE(),-(LandLeasePerYear)*(PeriodLengthMonths/MonthsPerYear),0)</f>
        <v>-500000</v>
      </c>
      <c r="AK33" s="23" t="n">
        <f aca="false">IF(AK17=TRUE(),-(LandLeasePerYear)*(PeriodLengthMonths/MonthsPerYear),0)</f>
        <v>-500000</v>
      </c>
      <c r="AL33" s="23" t="n">
        <f aca="false">IF(AL17=TRUE(),-(LandLeasePerYear)*(PeriodLengthMonths/MonthsPerYear),0)</f>
        <v>-500000</v>
      </c>
      <c r="AM33" s="23" t="n">
        <f aca="false">IF(AM17=TRUE(),-(LandLeasePerYear)*(PeriodLengthMonths/MonthsPerYear),0)</f>
        <v>-500000</v>
      </c>
      <c r="AN33" s="23" t="n">
        <f aca="false">IF(AN17=TRUE(),-(LandLeasePerYear)*(PeriodLengthMonths/MonthsPerYear),0)</f>
        <v>-500000</v>
      </c>
      <c r="AO33" s="23" t="n">
        <f aca="false">IF(AO17=TRUE(),-(LandLeasePerYear)*(PeriodLengthMonths/MonthsPerYear),0)</f>
        <v>-500000</v>
      </c>
      <c r="AP33" s="23" t="n">
        <f aca="false">IF(AP17=TRUE(),-(LandLeasePerYear)*(PeriodLengthMonths/MonthsPerYear),0)</f>
        <v>-500000</v>
      </c>
      <c r="AQ33" s="23" t="n">
        <f aca="false">IF(AQ17=TRUE(),-(LandLeasePerYear)*(PeriodLengthMonths/MonthsPerYear),0)</f>
        <v>-500000</v>
      </c>
      <c r="AR33" s="23" t="n">
        <f aca="false">IF(AR17=TRUE(),-(LandLeasePerYear)*(PeriodLengthMonths/MonthsPerYear),0)</f>
        <v>-500000</v>
      </c>
      <c r="AS33" s="23" t="n">
        <f aca="false">IF(AS17=TRUE(),-(LandLeasePerYear)*(PeriodLengthMonths/MonthsPerYear),0)</f>
        <v>-500000</v>
      </c>
      <c r="AT33" s="23" t="n">
        <f aca="false">IF(AT17=TRUE(),-(LandLeasePerYear)*(PeriodLengthMonths/MonthsPerYear),0)</f>
        <v>-500000</v>
      </c>
      <c r="AU33" s="23" t="n">
        <f aca="false">IF(AU17=TRUE(),-(LandLeasePerYear)*(PeriodLengthMonths/MonthsPerYear),0)</f>
        <v>-500000</v>
      </c>
      <c r="AV33" s="23" t="n">
        <f aca="false">IF(AV17=TRUE(),-(LandLeasePerYear)*(PeriodLengthMonths/MonthsPerYear),0)</f>
        <v>-500000</v>
      </c>
      <c r="AW33" s="23" t="n">
        <f aca="false">IF(AW17=TRUE(),-(LandLeasePerYear)*(PeriodLengthMonths/MonthsPerYear),0)</f>
        <v>-500000</v>
      </c>
      <c r="AX33" s="23" t="n">
        <f aca="false">IF(AX17=TRUE(),-(LandLeasePerYear)*(PeriodLengthMonths/MonthsPerYear),0)</f>
        <v>-500000</v>
      </c>
      <c r="AY33" s="23" t="n">
        <f aca="false">IF(AY17=TRUE(),-(LandLeasePerYear)*(PeriodLengthMonths/MonthsPerYear),0)</f>
        <v>-500000</v>
      </c>
      <c r="AZ33" s="23" t="n">
        <f aca="false">IF(AZ17=TRUE(),-(LandLeasePerYear)*(PeriodLengthMonths/MonthsPerYear),0)</f>
        <v>-500000</v>
      </c>
      <c r="BA33" s="23" t="n">
        <f aca="false">IF(BA17=TRUE(),-(LandLeasePerYear)*(PeriodLengthMonths/MonthsPerYear),0)</f>
        <v>-500000</v>
      </c>
      <c r="BB33" s="23" t="n">
        <f aca="false">IF(BB17=TRUE(),-(LandLeasePerYear)*(PeriodLengthMonths/MonthsPerYear),0)</f>
        <v>-500000</v>
      </c>
      <c r="BC33" s="23" t="n">
        <f aca="false">IF(BC17=TRUE(),-(LandLeasePerYear)*(PeriodLengthMonths/MonthsPerYear),0)</f>
        <v>-500000</v>
      </c>
      <c r="BD33" s="23" t="n">
        <f aca="false">IF(BD17=TRUE(),-(LandLeasePerYear)*(PeriodLengthMonths/MonthsPerYear),0)</f>
        <v>-500000</v>
      </c>
      <c r="BE33" s="23" t="n">
        <f aca="false">IF(BE17=TRUE(),-(LandLeasePerYear)*(PeriodLengthMonths/MonthsPerYear),0)</f>
        <v>-500000</v>
      </c>
      <c r="BF33" s="23" t="n">
        <f aca="false">IF(BF17=TRUE(),-(LandLeasePerYear)*(PeriodLengthMonths/MonthsPerYear),0)</f>
        <v>-500000</v>
      </c>
      <c r="BG33" s="23" t="n">
        <f aca="false">IF(BG17=TRUE(),-(LandLeasePerYear)*(PeriodLengthMonths/MonthsPerYear),0)</f>
        <v>-500000</v>
      </c>
      <c r="BH33" s="23" t="n">
        <f aca="false">IF(BH17=TRUE(),-(LandLeasePerYear)*(PeriodLengthMonths/MonthsPerYear),0)</f>
        <v>-500000</v>
      </c>
      <c r="BI33" s="23" t="n">
        <f aca="false">IF(BI17=TRUE(),-(LandLeasePerYear)*(PeriodLengthMonths/MonthsPerYear),0)</f>
        <v>-500000</v>
      </c>
      <c r="BJ33" s="23" t="n">
        <f aca="false">IF(BJ17=TRUE(),-(LandLeasePerYear)*(PeriodLengthMonths/MonthsPerYear),0)</f>
        <v>-500000</v>
      </c>
      <c r="BK33" s="23" t="n">
        <f aca="false">IF(BK17=TRUE(),-(LandLeasePerYear)*(PeriodLengthMonths/MonthsPerYear),0)</f>
        <v>-500000</v>
      </c>
      <c r="BL33" s="23" t="n">
        <f aca="false">IF(BL17=TRUE(),-(LandLeasePerYear)*(PeriodLengthMonths/MonthsPerYear),0)</f>
        <v>-500000</v>
      </c>
      <c r="BM33" s="23" t="n">
        <f aca="false">IF(BM17=TRUE(),-(LandLeasePerYear)*(PeriodLengthMonths/MonthsPerYear),0)</f>
        <v>-500000</v>
      </c>
      <c r="BN33" s="23" t="n">
        <f aca="false">IF(BN17=TRUE(),-(LandLeasePerYear)*(PeriodLengthMonths/MonthsPerYear),0)</f>
        <v>-500000</v>
      </c>
      <c r="BO33" s="23" t="n">
        <f aca="false">IF(BO17=TRUE(),-(LandLeasePerYear)*(PeriodLengthMonths/MonthsPerYear),0)</f>
        <v>-500000</v>
      </c>
      <c r="BP33" s="23" t="n">
        <f aca="false">IF(BP17=TRUE(),-(LandLeasePerYear)*(PeriodLengthMonths/MonthsPerYear),0)</f>
        <v>-500000</v>
      </c>
      <c r="BQ33" s="23" t="n">
        <f aca="false">IF(BQ17=TRUE(),-(LandLeasePerYear)*(PeriodLengthMonths/MonthsPerYear),0)</f>
        <v>-500000</v>
      </c>
      <c r="BR33" s="23" t="n">
        <f aca="false">IF(BR17=TRUE(),-(LandLeasePerYear)*(PeriodLengthMonths/MonthsPerYear),0)</f>
        <v>-500000</v>
      </c>
      <c r="BS33" s="23" t="n">
        <f aca="false">IF(BS17=TRUE(),-(LandLeasePerYear)*(PeriodLengthMonths/MonthsPerYear),0)</f>
        <v>-500000</v>
      </c>
      <c r="BT33" s="23" t="n">
        <f aca="false">IF(BT17=TRUE(),-(LandLeasePerYear)*(PeriodLengthMonths/MonthsPerYear),0)</f>
        <v>-500000</v>
      </c>
      <c r="BU33" s="23" t="n">
        <f aca="false">IF(BU17=TRUE(),-(LandLeasePerYear)*(PeriodLengthMonths/MonthsPerYear),0)</f>
        <v>-500000</v>
      </c>
      <c r="BV33" s="23" t="n">
        <f aca="false">IF(BV17=TRUE(),-(LandLeasePerYear)*(PeriodLengthMonths/MonthsPerYear),0)</f>
        <v>-500000</v>
      </c>
      <c r="BW33" s="23" t="n">
        <f aca="false">IF(BW17=TRUE(),-(LandLeasePerYear)*(PeriodLengthMonths/MonthsPerYear),0)</f>
        <v>-500000</v>
      </c>
      <c r="BX33" s="23" t="n">
        <f aca="false">IF(BX17=TRUE(),-(LandLeasePerYear)*(PeriodLengthMonths/MonthsPerYear),0)</f>
        <v>-500000</v>
      </c>
      <c r="BY33" s="23" t="n">
        <f aca="false">IF(BY17=TRUE(),-(LandLeasePerYear)*(PeriodLengthMonths/MonthsPerYear),0)</f>
        <v>-500000</v>
      </c>
      <c r="BZ33" s="23" t="n">
        <f aca="false">IF(BZ17=TRUE(),-(LandLeasePerYear)*(PeriodLengthMonths/MonthsPerYear),0)</f>
        <v>-500000</v>
      </c>
      <c r="CA33" s="23" t="n">
        <f aca="false">IF(CA17=TRUE(),-(LandLeasePerYear)*(PeriodLengthMonths/MonthsPerYear),0)</f>
        <v>-500000</v>
      </c>
      <c r="CB33" s="23" t="n">
        <f aca="false">IF(CB17=TRUE(),-(LandLeasePerYear)*(PeriodLengthMonths/MonthsPerYear),0)</f>
        <v>-500000</v>
      </c>
      <c r="CC33" s="23" t="n">
        <f aca="false">IF(CC17=TRUE(),-(LandLeasePerYear)*(PeriodLengthMonths/MonthsPerYear),0)</f>
        <v>-500000</v>
      </c>
      <c r="CD33" s="23" t="n">
        <f aca="false">IF(CD17=TRUE(),-(LandLeasePerYear)*(PeriodLengthMonths/MonthsPerYear),0)</f>
        <v>-500000</v>
      </c>
      <c r="CE33" s="23" t="n">
        <f aca="false">IF(CE17=TRUE(),-(LandLeasePerYear)*(PeriodLengthMonths/MonthsPerYear),0)</f>
        <v>-500000</v>
      </c>
      <c r="CF33" s="23" t="n">
        <f aca="false">IF(CF17=TRUE(),-(LandLeasePerYear)*(PeriodLengthMonths/MonthsPerYear),0)</f>
        <v>-500000</v>
      </c>
      <c r="CG33" s="23" t="n">
        <f aca="false">IF(CG17=TRUE(),-(LandLeasePerYear)*(PeriodLengthMonths/MonthsPerYear),0)</f>
        <v>-500000</v>
      </c>
      <c r="CH33" s="23" t="n">
        <f aca="false">IF(CH17=TRUE(),-(LandLeasePerYear)*(PeriodLengthMonths/MonthsPerYear),0)</f>
        <v>-500000</v>
      </c>
      <c r="CI33" s="23" t="n">
        <f aca="false">IF(CI17=TRUE(),-(LandLeasePerYear)*(PeriodLengthMonths/MonthsPerYear),0)</f>
        <v>-500000</v>
      </c>
      <c r="CJ33" s="23" t="n">
        <f aca="false">IF(CJ17=TRUE(),-(LandLeasePerYear)*(PeriodLengthMonths/MonthsPerYear),0)</f>
        <v>-500000</v>
      </c>
      <c r="CK33" s="23" t="n">
        <f aca="false">IF(CK17=TRUE(),-(LandLeasePerYear)*(PeriodLengthMonths/MonthsPerYear),0)</f>
        <v>-500000</v>
      </c>
      <c r="CL33" s="23" t="n">
        <f aca="false">IF(CL17=TRUE(),-(LandLeasePerYear)*(PeriodLengthMonths/MonthsPerYear),0)</f>
        <v>-500000</v>
      </c>
      <c r="CM33" s="23" t="n">
        <f aca="false">IF(CM17=TRUE(),-(LandLeasePerYear)*(PeriodLengthMonths/MonthsPerYear),0)</f>
        <v>-500000</v>
      </c>
      <c r="CN33" s="23" t="n">
        <f aca="false">IF(CN17=TRUE(),-(LandLeasePerYear)*(PeriodLengthMonths/MonthsPerYear),0)</f>
        <v>-500000</v>
      </c>
      <c r="CO33" s="23" t="n">
        <f aca="false">IF(CO17=TRUE(),-(LandLeasePerYear)*(PeriodLengthMonths/MonthsPerYear),0)</f>
        <v>-500000</v>
      </c>
      <c r="CP33" s="23" t="n">
        <f aca="false">IF(CP17=TRUE(),-(LandLeasePerYear)*(PeriodLengthMonths/MonthsPerYear),0)</f>
        <v>-500000</v>
      </c>
      <c r="CQ33" s="23" t="n">
        <f aca="false">IF(CQ17=TRUE(),-(LandLeasePerYear)*(PeriodLengthMonths/MonthsPerYear),0)</f>
        <v>-500000</v>
      </c>
      <c r="CR33" s="23" t="n">
        <f aca="false">IF(CR17=TRUE(),-(LandLeasePerYear)*(PeriodLengthMonths/MonthsPerYear),0)</f>
        <v>-500000</v>
      </c>
      <c r="CS33" s="23" t="n">
        <f aca="false">IF(CS17=TRUE(),-(LandLeasePerYear)*(PeriodLengthMonths/MonthsPerYear),0)</f>
        <v>-500000</v>
      </c>
      <c r="CT33" s="23" t="n">
        <f aca="false">IF(CT17=TRUE(),-(LandLeasePerYear)*(PeriodLengthMonths/MonthsPerYear),0)</f>
        <v>-500000</v>
      </c>
      <c r="CU33" s="23" t="n">
        <f aca="false">IF(CU17=TRUE(),-(LandLeasePerYear)*(PeriodLengthMonths/MonthsPerYear),0)</f>
        <v>-500000</v>
      </c>
      <c r="CV33" s="23" t="n">
        <f aca="false">IF(CV17=TRUE(),-(LandLeasePerYear)*(PeriodLengthMonths/MonthsPerYear),0)</f>
        <v>-500000</v>
      </c>
      <c r="CW33" s="23" t="n">
        <f aca="false">IF(CW17=TRUE(),-(LandLeasePerYear)*(PeriodLengthMonths/MonthsPerYear),0)</f>
        <v>-500000</v>
      </c>
      <c r="CX33" s="23" t="n">
        <f aca="false">IF(CX17=TRUE(),-(LandLeasePerYear)*(PeriodLengthMonths/MonthsPerYear),0)</f>
        <v>-500000</v>
      </c>
      <c r="CY33" s="23" t="n">
        <f aca="false">IF(CY17=TRUE(),-(LandLeasePerYear)*(PeriodLengthMonths/MonthsPerYear),0)</f>
        <v>-500000</v>
      </c>
      <c r="CZ33" s="23" t="n">
        <f aca="false">IF(CZ17=TRUE(),-(LandLeasePerYear)*(PeriodLengthMonths/MonthsPerYear),0)</f>
        <v>-500000</v>
      </c>
      <c r="DA33" s="23" t="n">
        <f aca="false">IF(DA17=TRUE(),-(LandLeasePerYear)*(PeriodLengthMonths/MonthsPerYear),0)</f>
        <v>-500000</v>
      </c>
      <c r="DB33" s="23" t="n">
        <f aca="false">IF(DB17=TRUE(),-(LandLeasePerYear)*(PeriodLengthMonths/MonthsPerYear),0)</f>
        <v>-500000</v>
      </c>
      <c r="DC33" s="23" t="n">
        <f aca="false">IF(DC17=TRUE(),-(LandLeasePerYear)*(PeriodLengthMonths/MonthsPerYear),0)</f>
        <v>-500000</v>
      </c>
      <c r="DD33" s="23" t="n">
        <f aca="false">IF(DD17=TRUE(),-(LandLeasePerYear)*(PeriodLengthMonths/MonthsPerYear),0)</f>
        <v>-500000</v>
      </c>
      <c r="DE33" s="23" t="n">
        <f aca="false">IF(DE17=TRUE(),-(LandLeasePerYear)*(PeriodLengthMonths/MonthsPerYear),0)</f>
        <v>-500000</v>
      </c>
      <c r="DF33" s="23" t="n">
        <f aca="false">IF(DF17=TRUE(),-(LandLeasePerYear)*(PeriodLengthMonths/MonthsPerYear),0)</f>
        <v>-500000</v>
      </c>
      <c r="DG33" s="23" t="n">
        <f aca="false">IF(DG17=TRUE(),-(LandLeasePerYear)*(PeriodLengthMonths/MonthsPerYear),0)</f>
        <v>-500000</v>
      </c>
      <c r="DH33" s="23" t="n">
        <f aca="false">IF(DH17=TRUE(),-(LandLeasePerYear)*(PeriodLengthMonths/MonthsPerYear),0)</f>
        <v>-500000</v>
      </c>
      <c r="DI33" s="23" t="n">
        <f aca="false">IF(DI17=TRUE(),-(LandLeasePerYear)*(PeriodLengthMonths/MonthsPerYear),0)</f>
        <v>-500000</v>
      </c>
      <c r="DJ33" s="23" t="n">
        <f aca="false">IF(DJ17=TRUE(),-(LandLeasePerYear)*(PeriodLengthMonths/MonthsPerYear),0)</f>
        <v>-500000</v>
      </c>
      <c r="DK33" s="23" t="n">
        <f aca="false">IF(DK17=TRUE(),-(LandLeasePerYear)*(PeriodLengthMonths/MonthsPerYear),0)</f>
        <v>-500000</v>
      </c>
      <c r="DL33" s="23" t="n">
        <f aca="false">IF(DL17=TRUE(),-(LandLeasePerYear)*(PeriodLengthMonths/MonthsPerYear),0)</f>
        <v>-500000</v>
      </c>
      <c r="DM33" s="23" t="n">
        <f aca="false">IF(DM17=TRUE(),-(LandLeasePerYear)*(PeriodLengthMonths/MonthsPerYear),0)</f>
        <v>-500000</v>
      </c>
      <c r="DN33" s="23" t="n">
        <f aca="false">IF(DN17=TRUE(),-(LandLeasePerYear)*(PeriodLengthMonths/MonthsPerYear),0)</f>
        <v>-500000</v>
      </c>
      <c r="DO33" s="23" t="n">
        <f aca="false">IF(DO17=TRUE(),-(LandLeasePerYear)*(PeriodLengthMonths/MonthsPerYear),0)</f>
        <v>-500000</v>
      </c>
      <c r="DP33" s="23" t="n">
        <f aca="false">IF(DP17=TRUE(),-(LandLeasePerYear)*(PeriodLengthMonths/MonthsPerYear),0)</f>
        <v>-500000</v>
      </c>
      <c r="DQ33" s="23" t="n">
        <f aca="false">IF(DQ17=TRUE(),-(LandLeasePerYear)*(PeriodLengthMonths/MonthsPerYear),0)</f>
        <v>-500000</v>
      </c>
      <c r="DR33" s="23" t="n">
        <f aca="false">IF(DR17=TRUE(),-(LandLeasePerYear)*(PeriodLengthMonths/MonthsPerYear),0)</f>
        <v>-500000</v>
      </c>
      <c r="DS33" s="23" t="n">
        <f aca="false">IF(DS17=TRUE(),-(LandLeasePerYear)*(PeriodLengthMonths/MonthsPerYear),0)</f>
        <v>-500000</v>
      </c>
      <c r="DT33" s="23" t="n">
        <f aca="false">IF(DT17=TRUE(),-(LandLeasePerYear)*(PeriodLengthMonths/MonthsPerYear),0)</f>
        <v>-500000</v>
      </c>
      <c r="DU33" s="23" t="n">
        <f aca="false">IF(DU17=TRUE(),-(LandLeasePerYear)*(PeriodLengthMonths/MonthsPerYear),0)</f>
        <v>-500000</v>
      </c>
      <c r="DV33" s="23" t="n">
        <f aca="false">IF(DV17=TRUE(),-(LandLeasePerYear)*(PeriodLengthMonths/MonthsPerYear),0)</f>
        <v>-500000</v>
      </c>
      <c r="DW33" s="23" t="n">
        <f aca="false">IF(DW17=TRUE(),-(LandLeasePerYear)*(PeriodLengthMonths/MonthsPerYear),0)</f>
        <v>-500000</v>
      </c>
      <c r="DX33" s="23" t="n">
        <f aca="false">IF(DX17=TRUE(),-(LandLeasePerYear)*(PeriodLengthMonths/MonthsPerYear),0)</f>
        <v>-500000</v>
      </c>
      <c r="DY33" s="23" t="n">
        <f aca="false">IF(DY17=TRUE(),-(LandLeasePerYear)*(PeriodLengthMonths/MonthsPerYear),0)</f>
        <v>-500000</v>
      </c>
      <c r="DZ33" s="23" t="n">
        <f aca="false">IF(DZ17=TRUE(),-(LandLeasePerYear)*(PeriodLengthMonths/MonthsPerYear),0)</f>
        <v>-500000</v>
      </c>
      <c r="EA33" s="23" t="n">
        <f aca="false">IF(EA17=TRUE(),-(LandLeasePerYear)*(PeriodLengthMonths/MonthsPerYear),0)</f>
        <v>-500000</v>
      </c>
      <c r="EB33" s="23" t="n">
        <f aca="false">IF(EB17=TRUE(),-(LandLeasePerYear)*(PeriodLengthMonths/MonthsPerYear),0)</f>
        <v>0</v>
      </c>
      <c r="EC33" s="23" t="n">
        <f aca="false">IF(EC17=TRUE(),-(LandLeasePerYear)*(PeriodLengthMonths/MonthsPerYear),0)</f>
        <v>0</v>
      </c>
      <c r="ED33" s="23" t="n">
        <f aca="false">IF(ED17=TRUE(),-(LandLeasePerYear)*(PeriodLengthMonths/MonthsPerYear),0)</f>
        <v>0</v>
      </c>
      <c r="EE33" s="23" t="n">
        <f aca="false">IF(EE17=TRUE(),-(LandLeasePerYear)*(PeriodLengthMonths/MonthsPerYear),0)</f>
        <v>0</v>
      </c>
      <c r="EF33" s="23" t="n">
        <f aca="false">IF(EF17=TRUE(),-(LandLeasePerYear)*(PeriodLengthMonths/MonthsPerYear),0)</f>
        <v>0</v>
      </c>
      <c r="EG33" s="23" t="n">
        <f aca="false">IF(EG17=TRUE(),-(LandLeasePerYear)*(PeriodLengthMonths/MonthsPerYear),0)</f>
        <v>0</v>
      </c>
      <c r="EH33" s="23" t="n">
        <f aca="false">IF(EH17=TRUE(),-(LandLeasePerYear)*(PeriodLengthMonths/MonthsPerYear),0)</f>
        <v>0</v>
      </c>
      <c r="EI33" s="23" t="n">
        <f aca="false">IF(EI17=TRUE(),-(LandLeasePerYear)*(PeriodLengthMonths/MonthsPerYear),0)</f>
        <v>0</v>
      </c>
      <c r="EJ33" s="23" t="n">
        <f aca="false">IF(EJ17=TRUE(),-(LandLeasePerYear)*(PeriodLengthMonths/MonthsPerYear),0)</f>
        <v>0</v>
      </c>
      <c r="EK33" s="23" t="n">
        <f aca="false">IF(EK17=TRUE(),-(LandLeasePerYear)*(PeriodLengthMonths/MonthsPerYear),0)</f>
        <v>0</v>
      </c>
      <c r="EL33" s="23" t="n">
        <f aca="false">IF(EL17=TRUE(),-(LandLeasePerYear)*(PeriodLengthMonths/MonthsPerYear),0)</f>
        <v>0</v>
      </c>
      <c r="EM33" s="23" t="n">
        <f aca="false">IF(EM17=TRUE(),-(LandLeasePerYear)*(PeriodLengthMonths/MonthsPerYear),0)</f>
        <v>0</v>
      </c>
      <c r="EN33" s="23" t="n">
        <f aca="false">IF(EN17=TRUE(),-(LandLeasePerYear)*(PeriodLengthMonths/MonthsPerYear),0)</f>
        <v>0</v>
      </c>
      <c r="EO33" s="23" t="n">
        <f aca="false">IF(EO17=TRUE(),-(LandLeasePerYear)*(PeriodLengthMonths/MonthsPerYear),0)</f>
        <v>0</v>
      </c>
      <c r="EP33" s="23" t="n">
        <f aca="false">IF(EP17=TRUE(),-(LandLeasePerYear)*(PeriodLengthMonths/MonthsPerYear),0)</f>
        <v>0</v>
      </c>
      <c r="EQ33" s="23" t="n">
        <f aca="false">IF(EQ17=TRUE(),-(LandLeasePerYear)*(PeriodLengthMonths/MonthsPerYear),0)</f>
        <v>0</v>
      </c>
      <c r="ER33" s="23" t="n">
        <f aca="false">IF(ER17=TRUE(),-(LandLeasePerYear)*(PeriodLengthMonths/MonthsPerYear),0)</f>
        <v>0</v>
      </c>
      <c r="ES33" s="23" t="n">
        <f aca="false">IF(ES17=TRUE(),-(LandLeasePerYear)*(PeriodLengthMonths/MonthsPerYear),0)</f>
        <v>0</v>
      </c>
      <c r="ET33" s="23" t="n">
        <f aca="false">IF(ET17=TRUE(),-(LandLeasePerYear)*(PeriodLengthMonths/MonthsPerYear),0)</f>
        <v>0</v>
      </c>
      <c r="EU33" s="23" t="n">
        <f aca="false">IF(EU17=TRUE(),-(LandLeasePerYear)*(PeriodLengthMonths/MonthsPerYear),0)</f>
        <v>0</v>
      </c>
      <c r="EV33" s="23" t="n">
        <f aca="false">IF(EV17=TRUE(),-(LandLeasePerYear)*(PeriodLengthMonths/MonthsPerYear),0)</f>
        <v>0</v>
      </c>
      <c r="EW33" s="23" t="n">
        <f aca="false">IF(EW17=TRUE(),-(LandLeasePerYear)*(PeriodLengthMonths/MonthsPerYear),0)</f>
        <v>0</v>
      </c>
      <c r="EX33" s="23" t="n">
        <f aca="false">IF(EX17=TRUE(),-(LandLeasePerYear)*(PeriodLengthMonths/MonthsPerYear),0)</f>
        <v>0</v>
      </c>
      <c r="EY33" s="23" t="n">
        <f aca="false">IF(EY17=TRUE(),-(LandLeasePerYear)*(PeriodLengthMonths/MonthsPerYear),0)</f>
        <v>0</v>
      </c>
      <c r="EZ33" s="23" t="n">
        <f aca="false">IF(EZ17=TRUE(),-(LandLeasePerYear)*(PeriodLengthMonths/MonthsPerYear),0)</f>
        <v>0</v>
      </c>
      <c r="FA33" s="23" t="n">
        <f aca="false">IF(FA17=TRUE(),-(LandLeasePerYear)*(PeriodLengthMonths/MonthsPerYear),0)</f>
        <v>0</v>
      </c>
      <c r="FB33" s="23" t="n">
        <f aca="false">IF(FB17=TRUE(),-(LandLeasePerYear)*(PeriodLengthMonths/MonthsPerYear),0)</f>
        <v>0</v>
      </c>
      <c r="FC33" s="23" t="n">
        <f aca="false">IF(FC17=TRUE(),-(LandLeasePerYear)*(PeriodLengthMonths/MonthsPerYear),0)</f>
        <v>0</v>
      </c>
      <c r="FD33" s="23" t="n">
        <f aca="false">IF(FD17=TRUE(),-(LandLeasePerYear)*(PeriodLengthMonths/MonthsPerYear),0)</f>
        <v>0</v>
      </c>
      <c r="FE33" s="23" t="n">
        <f aca="false">IF(FE17=TRUE(),-(LandLeasePerYear)*(PeriodLengthMonths/MonthsPerYear),0)</f>
        <v>0</v>
      </c>
      <c r="FF33" s="23" t="n">
        <f aca="false">IF(FF17=TRUE(),-(LandLeasePerYear)*(PeriodLengthMonths/MonthsPerYear),0)</f>
        <v>0</v>
      </c>
      <c r="FG33" s="23" t="n">
        <f aca="false">IF(FG17=TRUE(),-(LandLeasePerYear)*(PeriodLengthMonths/MonthsPerYear),0)</f>
        <v>0</v>
      </c>
      <c r="FH33" s="23" t="n">
        <f aca="false">IF(FH17=TRUE(),-(LandLeasePerYear)*(PeriodLengthMonths/MonthsPerYear),0)</f>
        <v>0</v>
      </c>
      <c r="FI33" s="23" t="n">
        <f aca="false">IF(FI17=TRUE(),-(LandLeasePerYear)*(PeriodLengthMonths/MonthsPerYear),0)</f>
        <v>0</v>
      </c>
      <c r="FJ33" s="23" t="n">
        <f aca="false">IF(FJ17=TRUE(),-(LandLeasePerYear)*(PeriodLengthMonths/MonthsPerYear),0)</f>
        <v>0</v>
      </c>
      <c r="FK33" s="23" t="n">
        <f aca="false">IF(FK17=TRUE(),-(LandLeasePerYear)*(PeriodLengthMonths/MonthsPerYear),0)</f>
        <v>0</v>
      </c>
    </row>
    <row r="34" customFormat="false" ht="15" hidden="false" customHeight="true" outlineLevel="0" collapsed="false">
      <c r="D34" s="21" t="s">
        <v>81</v>
      </c>
      <c r="E34" s="7" t="s">
        <v>28</v>
      </c>
      <c r="F34" s="22" t="n">
        <f aca="false">SUM(H34:FK34)</f>
        <v>-397500000</v>
      </c>
      <c r="H34" s="23" t="n">
        <f aca="false">SUM(H31:H33)</f>
        <v>0</v>
      </c>
      <c r="I34" s="23" t="n">
        <f aca="false">SUM(I31:I33)</f>
        <v>0</v>
      </c>
      <c r="J34" s="23" t="n">
        <f aca="false">SUM(J31:J33)</f>
        <v>0</v>
      </c>
      <c r="K34" s="23" t="n">
        <f aca="false">SUM(K31:K33)</f>
        <v>0</v>
      </c>
      <c r="L34" s="23" t="n">
        <f aca="false">SUM(L31:L33)</f>
        <v>-3312500</v>
      </c>
      <c r="M34" s="23" t="n">
        <f aca="false">SUM(M31:M33)</f>
        <v>-3312500</v>
      </c>
      <c r="N34" s="23" t="n">
        <f aca="false">SUM(N31:N33)</f>
        <v>-3312500</v>
      </c>
      <c r="O34" s="23" t="n">
        <f aca="false">SUM(O31:O33)</f>
        <v>-3312500</v>
      </c>
      <c r="P34" s="23" t="n">
        <f aca="false">SUM(P31:P33)</f>
        <v>-3312500</v>
      </c>
      <c r="Q34" s="23" t="n">
        <f aca="false">SUM(Q31:Q33)</f>
        <v>-3312500</v>
      </c>
      <c r="R34" s="23" t="n">
        <f aca="false">SUM(R31:R33)</f>
        <v>-3312500</v>
      </c>
      <c r="S34" s="23" t="n">
        <f aca="false">SUM(S31:S33)</f>
        <v>-3312500</v>
      </c>
      <c r="T34" s="23" t="n">
        <f aca="false">SUM(T31:T33)</f>
        <v>-3312500</v>
      </c>
      <c r="U34" s="23" t="n">
        <f aca="false">SUM(U31:U33)</f>
        <v>-3312500</v>
      </c>
      <c r="V34" s="23" t="n">
        <f aca="false">SUM(V31:V33)</f>
        <v>-3312500</v>
      </c>
      <c r="W34" s="23" t="n">
        <f aca="false">SUM(W31:W33)</f>
        <v>-3312500</v>
      </c>
      <c r="X34" s="23" t="n">
        <f aca="false">SUM(X31:X33)</f>
        <v>-3312500</v>
      </c>
      <c r="Y34" s="23" t="n">
        <f aca="false">SUM(Y31:Y33)</f>
        <v>-3312500</v>
      </c>
      <c r="Z34" s="23" t="n">
        <f aca="false">SUM(Z31:Z33)</f>
        <v>-3312500</v>
      </c>
      <c r="AA34" s="23" t="n">
        <f aca="false">SUM(AA31:AA33)</f>
        <v>-3312500</v>
      </c>
      <c r="AB34" s="23" t="n">
        <f aca="false">SUM(AB31:AB33)</f>
        <v>-3312500</v>
      </c>
      <c r="AC34" s="23" t="n">
        <f aca="false">SUM(AC31:AC33)</f>
        <v>-3312500</v>
      </c>
      <c r="AD34" s="23" t="n">
        <f aca="false">SUM(AD31:AD33)</f>
        <v>-3312500</v>
      </c>
      <c r="AE34" s="23" t="n">
        <f aca="false">SUM(AE31:AE33)</f>
        <v>-3312500</v>
      </c>
      <c r="AF34" s="23" t="n">
        <f aca="false">SUM(AF31:AF33)</f>
        <v>-3312500</v>
      </c>
      <c r="AG34" s="23" t="n">
        <f aca="false">SUM(AG31:AG33)</f>
        <v>-3312500</v>
      </c>
      <c r="AH34" s="23" t="n">
        <f aca="false">SUM(AH31:AH33)</f>
        <v>-3312500</v>
      </c>
      <c r="AI34" s="23" t="n">
        <f aca="false">SUM(AI31:AI33)</f>
        <v>-3312500</v>
      </c>
      <c r="AJ34" s="23" t="n">
        <f aca="false">SUM(AJ31:AJ33)</f>
        <v>-3312500</v>
      </c>
      <c r="AK34" s="23" t="n">
        <f aca="false">SUM(AK31:AK33)</f>
        <v>-3312500</v>
      </c>
      <c r="AL34" s="23" t="n">
        <f aca="false">SUM(AL31:AL33)</f>
        <v>-3312500</v>
      </c>
      <c r="AM34" s="23" t="n">
        <f aca="false">SUM(AM31:AM33)</f>
        <v>-3312500</v>
      </c>
      <c r="AN34" s="23" t="n">
        <f aca="false">SUM(AN31:AN33)</f>
        <v>-3312500</v>
      </c>
      <c r="AO34" s="23" t="n">
        <f aca="false">SUM(AO31:AO33)</f>
        <v>-3312500</v>
      </c>
      <c r="AP34" s="23" t="n">
        <f aca="false">SUM(AP31:AP33)</f>
        <v>-3312500</v>
      </c>
      <c r="AQ34" s="23" t="n">
        <f aca="false">SUM(AQ31:AQ33)</f>
        <v>-3312500</v>
      </c>
      <c r="AR34" s="23" t="n">
        <f aca="false">SUM(AR31:AR33)</f>
        <v>-3312500</v>
      </c>
      <c r="AS34" s="23" t="n">
        <f aca="false">SUM(AS31:AS33)</f>
        <v>-3312500</v>
      </c>
      <c r="AT34" s="23" t="n">
        <f aca="false">SUM(AT31:AT33)</f>
        <v>-3312500</v>
      </c>
      <c r="AU34" s="23" t="n">
        <f aca="false">SUM(AU31:AU33)</f>
        <v>-3312500</v>
      </c>
      <c r="AV34" s="23" t="n">
        <f aca="false">SUM(AV31:AV33)</f>
        <v>-3312500</v>
      </c>
      <c r="AW34" s="23" t="n">
        <f aca="false">SUM(AW31:AW33)</f>
        <v>-3312500</v>
      </c>
      <c r="AX34" s="23" t="n">
        <f aca="false">SUM(AX31:AX33)</f>
        <v>-3312500</v>
      </c>
      <c r="AY34" s="23" t="n">
        <f aca="false">SUM(AY31:AY33)</f>
        <v>-3312500</v>
      </c>
      <c r="AZ34" s="23" t="n">
        <f aca="false">SUM(AZ31:AZ33)</f>
        <v>-3312500</v>
      </c>
      <c r="BA34" s="23" t="n">
        <f aca="false">SUM(BA31:BA33)</f>
        <v>-3312500</v>
      </c>
      <c r="BB34" s="23" t="n">
        <f aca="false">SUM(BB31:BB33)</f>
        <v>-3312500</v>
      </c>
      <c r="BC34" s="23" t="n">
        <f aca="false">SUM(BC31:BC33)</f>
        <v>-3312500</v>
      </c>
      <c r="BD34" s="23" t="n">
        <f aca="false">SUM(BD31:BD33)</f>
        <v>-3312500</v>
      </c>
      <c r="BE34" s="23" t="n">
        <f aca="false">SUM(BE31:BE33)</f>
        <v>-3312500</v>
      </c>
      <c r="BF34" s="23" t="n">
        <f aca="false">SUM(BF31:BF33)</f>
        <v>-3312500</v>
      </c>
      <c r="BG34" s="23" t="n">
        <f aca="false">SUM(BG31:BG33)</f>
        <v>-3312500</v>
      </c>
      <c r="BH34" s="23" t="n">
        <f aca="false">SUM(BH31:BH33)</f>
        <v>-3312500</v>
      </c>
      <c r="BI34" s="23" t="n">
        <f aca="false">SUM(BI31:BI33)</f>
        <v>-3312500</v>
      </c>
      <c r="BJ34" s="23" t="n">
        <f aca="false">SUM(BJ31:BJ33)</f>
        <v>-3312500</v>
      </c>
      <c r="BK34" s="23" t="n">
        <f aca="false">SUM(BK31:BK33)</f>
        <v>-3312500</v>
      </c>
      <c r="BL34" s="23" t="n">
        <f aca="false">SUM(BL31:BL33)</f>
        <v>-3312500</v>
      </c>
      <c r="BM34" s="23" t="n">
        <f aca="false">SUM(BM31:BM33)</f>
        <v>-3312500</v>
      </c>
      <c r="BN34" s="23" t="n">
        <f aca="false">SUM(BN31:BN33)</f>
        <v>-3312500</v>
      </c>
      <c r="BO34" s="23" t="n">
        <f aca="false">SUM(BO31:BO33)</f>
        <v>-3312500</v>
      </c>
      <c r="BP34" s="23" t="n">
        <f aca="false">SUM(BP31:BP33)</f>
        <v>-3312500</v>
      </c>
      <c r="BQ34" s="23" t="n">
        <f aca="false">SUM(BQ31:BQ33)</f>
        <v>-3312500</v>
      </c>
      <c r="BR34" s="23" t="n">
        <f aca="false">SUM(BR31:BR33)</f>
        <v>-3312500</v>
      </c>
      <c r="BS34" s="23" t="n">
        <f aca="false">SUM(BS31:BS33)</f>
        <v>-3312500</v>
      </c>
      <c r="BT34" s="23" t="n">
        <f aca="false">SUM(BT31:BT33)</f>
        <v>-3312500</v>
      </c>
      <c r="BU34" s="23" t="n">
        <f aca="false">SUM(BU31:BU33)</f>
        <v>-3312500</v>
      </c>
      <c r="BV34" s="23" t="n">
        <f aca="false">SUM(BV31:BV33)</f>
        <v>-3312500</v>
      </c>
      <c r="BW34" s="23" t="n">
        <f aca="false">SUM(BW31:BW33)</f>
        <v>-3312500</v>
      </c>
      <c r="BX34" s="23" t="n">
        <f aca="false">SUM(BX31:BX33)</f>
        <v>-3312500</v>
      </c>
      <c r="BY34" s="23" t="n">
        <f aca="false">SUM(BY31:BY33)</f>
        <v>-3312500</v>
      </c>
      <c r="BZ34" s="23" t="n">
        <f aca="false">SUM(BZ31:BZ33)</f>
        <v>-3312500</v>
      </c>
      <c r="CA34" s="23" t="n">
        <f aca="false">SUM(CA31:CA33)</f>
        <v>-3312500</v>
      </c>
      <c r="CB34" s="23" t="n">
        <f aca="false">SUM(CB31:CB33)</f>
        <v>-3312500</v>
      </c>
      <c r="CC34" s="23" t="n">
        <f aca="false">SUM(CC31:CC33)</f>
        <v>-3312500</v>
      </c>
      <c r="CD34" s="23" t="n">
        <f aca="false">SUM(CD31:CD33)</f>
        <v>-3312500</v>
      </c>
      <c r="CE34" s="23" t="n">
        <f aca="false">SUM(CE31:CE33)</f>
        <v>-3312500</v>
      </c>
      <c r="CF34" s="23" t="n">
        <f aca="false">SUM(CF31:CF33)</f>
        <v>-3312500</v>
      </c>
      <c r="CG34" s="23" t="n">
        <f aca="false">SUM(CG31:CG33)</f>
        <v>-3312500</v>
      </c>
      <c r="CH34" s="23" t="n">
        <f aca="false">SUM(CH31:CH33)</f>
        <v>-3312500</v>
      </c>
      <c r="CI34" s="23" t="n">
        <f aca="false">SUM(CI31:CI33)</f>
        <v>-3312500</v>
      </c>
      <c r="CJ34" s="23" t="n">
        <f aca="false">SUM(CJ31:CJ33)</f>
        <v>-3312500</v>
      </c>
      <c r="CK34" s="23" t="n">
        <f aca="false">SUM(CK31:CK33)</f>
        <v>-3312500</v>
      </c>
      <c r="CL34" s="23" t="n">
        <f aca="false">SUM(CL31:CL33)</f>
        <v>-3312500</v>
      </c>
      <c r="CM34" s="23" t="n">
        <f aca="false">SUM(CM31:CM33)</f>
        <v>-3312500</v>
      </c>
      <c r="CN34" s="23" t="n">
        <f aca="false">SUM(CN31:CN33)</f>
        <v>-3312500</v>
      </c>
      <c r="CO34" s="23" t="n">
        <f aca="false">SUM(CO31:CO33)</f>
        <v>-3312500</v>
      </c>
      <c r="CP34" s="23" t="n">
        <f aca="false">SUM(CP31:CP33)</f>
        <v>-3312500</v>
      </c>
      <c r="CQ34" s="23" t="n">
        <f aca="false">SUM(CQ31:CQ33)</f>
        <v>-3312500</v>
      </c>
      <c r="CR34" s="23" t="n">
        <f aca="false">SUM(CR31:CR33)</f>
        <v>-3312500</v>
      </c>
      <c r="CS34" s="23" t="n">
        <f aca="false">SUM(CS31:CS33)</f>
        <v>-3312500</v>
      </c>
      <c r="CT34" s="23" t="n">
        <f aca="false">SUM(CT31:CT33)</f>
        <v>-3312500</v>
      </c>
      <c r="CU34" s="23" t="n">
        <f aca="false">SUM(CU31:CU33)</f>
        <v>-3312500</v>
      </c>
      <c r="CV34" s="23" t="n">
        <f aca="false">SUM(CV31:CV33)</f>
        <v>-3312500</v>
      </c>
      <c r="CW34" s="23" t="n">
        <f aca="false">SUM(CW31:CW33)</f>
        <v>-3312500</v>
      </c>
      <c r="CX34" s="23" t="n">
        <f aca="false">SUM(CX31:CX33)</f>
        <v>-3312500</v>
      </c>
      <c r="CY34" s="23" t="n">
        <f aca="false">SUM(CY31:CY33)</f>
        <v>-3312500</v>
      </c>
      <c r="CZ34" s="23" t="n">
        <f aca="false">SUM(CZ31:CZ33)</f>
        <v>-3312500</v>
      </c>
      <c r="DA34" s="23" t="n">
        <f aca="false">SUM(DA31:DA33)</f>
        <v>-3312500</v>
      </c>
      <c r="DB34" s="23" t="n">
        <f aca="false">SUM(DB31:DB33)</f>
        <v>-3312500</v>
      </c>
      <c r="DC34" s="23" t="n">
        <f aca="false">SUM(DC31:DC33)</f>
        <v>-3312500</v>
      </c>
      <c r="DD34" s="23" t="n">
        <f aca="false">SUM(DD31:DD33)</f>
        <v>-3312500</v>
      </c>
      <c r="DE34" s="23" t="n">
        <f aca="false">SUM(DE31:DE33)</f>
        <v>-3312500</v>
      </c>
      <c r="DF34" s="23" t="n">
        <f aca="false">SUM(DF31:DF33)</f>
        <v>-3312500</v>
      </c>
      <c r="DG34" s="23" t="n">
        <f aca="false">SUM(DG31:DG33)</f>
        <v>-3312500</v>
      </c>
      <c r="DH34" s="23" t="n">
        <f aca="false">SUM(DH31:DH33)</f>
        <v>-3312500</v>
      </c>
      <c r="DI34" s="23" t="n">
        <f aca="false">SUM(DI31:DI33)</f>
        <v>-3312500</v>
      </c>
      <c r="DJ34" s="23" t="n">
        <f aca="false">SUM(DJ31:DJ33)</f>
        <v>-3312500</v>
      </c>
      <c r="DK34" s="23" t="n">
        <f aca="false">SUM(DK31:DK33)</f>
        <v>-3312500</v>
      </c>
      <c r="DL34" s="23" t="n">
        <f aca="false">SUM(DL31:DL33)</f>
        <v>-3312500</v>
      </c>
      <c r="DM34" s="23" t="n">
        <f aca="false">SUM(DM31:DM33)</f>
        <v>-3312500</v>
      </c>
      <c r="DN34" s="23" t="n">
        <f aca="false">SUM(DN31:DN33)</f>
        <v>-3312500</v>
      </c>
      <c r="DO34" s="23" t="n">
        <f aca="false">SUM(DO31:DO33)</f>
        <v>-3312500</v>
      </c>
      <c r="DP34" s="23" t="n">
        <f aca="false">SUM(DP31:DP33)</f>
        <v>-3312500</v>
      </c>
      <c r="DQ34" s="23" t="n">
        <f aca="false">SUM(DQ31:DQ33)</f>
        <v>-3312500</v>
      </c>
      <c r="DR34" s="23" t="n">
        <f aca="false">SUM(DR31:DR33)</f>
        <v>-3312500</v>
      </c>
      <c r="DS34" s="23" t="n">
        <f aca="false">SUM(DS31:DS33)</f>
        <v>-3312500</v>
      </c>
      <c r="DT34" s="23" t="n">
        <f aca="false">SUM(DT31:DT33)</f>
        <v>-3312500</v>
      </c>
      <c r="DU34" s="23" t="n">
        <f aca="false">SUM(DU31:DU33)</f>
        <v>-3312500</v>
      </c>
      <c r="DV34" s="23" t="n">
        <f aca="false">SUM(DV31:DV33)</f>
        <v>-3312500</v>
      </c>
      <c r="DW34" s="23" t="n">
        <f aca="false">SUM(DW31:DW33)</f>
        <v>-3312500</v>
      </c>
      <c r="DX34" s="23" t="n">
        <f aca="false">SUM(DX31:DX33)</f>
        <v>-3312500</v>
      </c>
      <c r="DY34" s="23" t="n">
        <f aca="false">SUM(DY31:DY33)</f>
        <v>-3312500</v>
      </c>
      <c r="DZ34" s="23" t="n">
        <f aca="false">SUM(DZ31:DZ33)</f>
        <v>-3312500</v>
      </c>
      <c r="EA34" s="23" t="n">
        <f aca="false">SUM(EA31:EA33)</f>
        <v>-3312500</v>
      </c>
      <c r="EB34" s="23" t="n">
        <f aca="false">SUM(EB31:EB33)</f>
        <v>0</v>
      </c>
      <c r="EC34" s="23" t="n">
        <f aca="false">SUM(EC31:EC33)</f>
        <v>0</v>
      </c>
      <c r="ED34" s="23" t="n">
        <f aca="false">SUM(ED31:ED33)</f>
        <v>0</v>
      </c>
      <c r="EE34" s="23" t="n">
        <f aca="false">SUM(EE31:EE33)</f>
        <v>0</v>
      </c>
      <c r="EF34" s="23" t="n">
        <f aca="false">SUM(EF31:EF33)</f>
        <v>0</v>
      </c>
      <c r="EG34" s="23" t="n">
        <f aca="false">SUM(EG31:EG33)</f>
        <v>0</v>
      </c>
      <c r="EH34" s="23" t="n">
        <f aca="false">SUM(EH31:EH33)</f>
        <v>0</v>
      </c>
      <c r="EI34" s="23" t="n">
        <f aca="false">SUM(EI31:EI33)</f>
        <v>0</v>
      </c>
      <c r="EJ34" s="23" t="n">
        <f aca="false">SUM(EJ31:EJ33)</f>
        <v>0</v>
      </c>
      <c r="EK34" s="23" t="n">
        <f aca="false">SUM(EK31:EK33)</f>
        <v>0</v>
      </c>
      <c r="EL34" s="23" t="n">
        <f aca="false">SUM(EL31:EL33)</f>
        <v>0</v>
      </c>
      <c r="EM34" s="23" t="n">
        <f aca="false">SUM(EM31:EM33)</f>
        <v>0</v>
      </c>
      <c r="EN34" s="23" t="n">
        <f aca="false">SUM(EN31:EN33)</f>
        <v>0</v>
      </c>
      <c r="EO34" s="23" t="n">
        <f aca="false">SUM(EO31:EO33)</f>
        <v>0</v>
      </c>
      <c r="EP34" s="23" t="n">
        <f aca="false">SUM(EP31:EP33)</f>
        <v>0</v>
      </c>
      <c r="EQ34" s="23" t="n">
        <f aca="false">SUM(EQ31:EQ33)</f>
        <v>0</v>
      </c>
      <c r="ER34" s="23" t="n">
        <f aca="false">SUM(ER31:ER33)</f>
        <v>0</v>
      </c>
      <c r="ES34" s="23" t="n">
        <f aca="false">SUM(ES31:ES33)</f>
        <v>0</v>
      </c>
      <c r="ET34" s="23" t="n">
        <f aca="false">SUM(ET31:ET33)</f>
        <v>0</v>
      </c>
      <c r="EU34" s="23" t="n">
        <f aca="false">SUM(EU31:EU33)</f>
        <v>0</v>
      </c>
      <c r="EV34" s="23" t="n">
        <f aca="false">SUM(EV31:EV33)</f>
        <v>0</v>
      </c>
      <c r="EW34" s="23" t="n">
        <f aca="false">SUM(EW31:EW33)</f>
        <v>0</v>
      </c>
      <c r="EX34" s="23" t="n">
        <f aca="false">SUM(EX31:EX33)</f>
        <v>0</v>
      </c>
      <c r="EY34" s="23" t="n">
        <f aca="false">SUM(EY31:EY33)</f>
        <v>0</v>
      </c>
      <c r="EZ34" s="23" t="n">
        <f aca="false">SUM(EZ31:EZ33)</f>
        <v>0</v>
      </c>
      <c r="FA34" s="23" t="n">
        <f aca="false">SUM(FA31:FA33)</f>
        <v>0</v>
      </c>
      <c r="FB34" s="23" t="n">
        <f aca="false">SUM(FB31:FB33)</f>
        <v>0</v>
      </c>
      <c r="FC34" s="23" t="n">
        <f aca="false">SUM(FC31:FC33)</f>
        <v>0</v>
      </c>
      <c r="FD34" s="23" t="n">
        <f aca="false">SUM(FD31:FD33)</f>
        <v>0</v>
      </c>
      <c r="FE34" s="23" t="n">
        <f aca="false">SUM(FE31:FE33)</f>
        <v>0</v>
      </c>
      <c r="FF34" s="23" t="n">
        <f aca="false">SUM(FF31:FF33)</f>
        <v>0</v>
      </c>
      <c r="FG34" s="23" t="n">
        <f aca="false">SUM(FG31:FG33)</f>
        <v>0</v>
      </c>
      <c r="FH34" s="23" t="n">
        <f aca="false">SUM(FH31:FH33)</f>
        <v>0</v>
      </c>
      <c r="FI34" s="23" t="n">
        <f aca="false">SUM(FI31:FI33)</f>
        <v>0</v>
      </c>
      <c r="FJ34" s="23" t="n">
        <f aca="false">SUM(FJ31:FJ33)</f>
        <v>0</v>
      </c>
      <c r="FK34" s="23" t="n">
        <f aca="false">SUM(FK31:FK33)</f>
        <v>0</v>
      </c>
    </row>
    <row r="35" customFormat="false" ht="15" hidden="false" customHeight="true" outlineLevel="0" collapsed="false">
      <c r="D35" s="21" t="s">
        <v>82</v>
      </c>
      <c r="E35" s="7" t="s">
        <v>28</v>
      </c>
      <c r="F35" s="22" t="n">
        <f aca="false">SUM(H35:FK35)</f>
        <v>1179300000</v>
      </c>
      <c r="H35" s="23" t="n">
        <f aca="false">H30+H34</f>
        <v>0</v>
      </c>
      <c r="I35" s="23" t="n">
        <f aca="false">I30+I34</f>
        <v>0</v>
      </c>
      <c r="J35" s="23" t="n">
        <f aca="false">J30+J34</f>
        <v>0</v>
      </c>
      <c r="K35" s="23" t="n">
        <f aca="false">K30+K34</f>
        <v>0</v>
      </c>
      <c r="L35" s="23" t="n">
        <f aca="false">L30+L34</f>
        <v>9827500</v>
      </c>
      <c r="M35" s="23" t="n">
        <f aca="false">M30+M34</f>
        <v>9827500</v>
      </c>
      <c r="N35" s="23" t="n">
        <f aca="false">N30+N34</f>
        <v>9827500</v>
      </c>
      <c r="O35" s="23" t="n">
        <f aca="false">O30+O34</f>
        <v>9827500</v>
      </c>
      <c r="P35" s="23" t="n">
        <f aca="false">P30+P34</f>
        <v>9827500</v>
      </c>
      <c r="Q35" s="23" t="n">
        <f aca="false">Q30+Q34</f>
        <v>9827500</v>
      </c>
      <c r="R35" s="23" t="n">
        <f aca="false">R30+R34</f>
        <v>9827500</v>
      </c>
      <c r="S35" s="23" t="n">
        <f aca="false">S30+S34</f>
        <v>9827500</v>
      </c>
      <c r="T35" s="23" t="n">
        <f aca="false">T30+T34</f>
        <v>9827500</v>
      </c>
      <c r="U35" s="23" t="n">
        <f aca="false">U30+U34</f>
        <v>9827500</v>
      </c>
      <c r="V35" s="23" t="n">
        <f aca="false">V30+V34</f>
        <v>9827500</v>
      </c>
      <c r="W35" s="23" t="n">
        <f aca="false">W30+W34</f>
        <v>9827500</v>
      </c>
      <c r="X35" s="23" t="n">
        <f aca="false">X30+X34</f>
        <v>9827500</v>
      </c>
      <c r="Y35" s="23" t="n">
        <f aca="false">Y30+Y34</f>
        <v>9827500</v>
      </c>
      <c r="Z35" s="23" t="n">
        <f aca="false">Z30+Z34</f>
        <v>9827500</v>
      </c>
      <c r="AA35" s="23" t="n">
        <f aca="false">AA30+AA34</f>
        <v>9827500</v>
      </c>
      <c r="AB35" s="23" t="n">
        <f aca="false">AB30+AB34</f>
        <v>9827500</v>
      </c>
      <c r="AC35" s="23" t="n">
        <f aca="false">AC30+AC34</f>
        <v>9827500</v>
      </c>
      <c r="AD35" s="23" t="n">
        <f aca="false">AD30+AD34</f>
        <v>9827500</v>
      </c>
      <c r="AE35" s="23" t="n">
        <f aca="false">AE30+AE34</f>
        <v>9827500</v>
      </c>
      <c r="AF35" s="23" t="n">
        <f aca="false">AF30+AF34</f>
        <v>9827500</v>
      </c>
      <c r="AG35" s="23" t="n">
        <f aca="false">AG30+AG34</f>
        <v>9827500</v>
      </c>
      <c r="AH35" s="23" t="n">
        <f aca="false">AH30+AH34</f>
        <v>9827500</v>
      </c>
      <c r="AI35" s="23" t="n">
        <f aca="false">AI30+AI34</f>
        <v>9827500</v>
      </c>
      <c r="AJ35" s="23" t="n">
        <f aca="false">AJ30+AJ34</f>
        <v>9827500</v>
      </c>
      <c r="AK35" s="23" t="n">
        <f aca="false">AK30+AK34</f>
        <v>9827500</v>
      </c>
      <c r="AL35" s="23" t="n">
        <f aca="false">AL30+AL34</f>
        <v>9827500</v>
      </c>
      <c r="AM35" s="23" t="n">
        <f aca="false">AM30+AM34</f>
        <v>9827500</v>
      </c>
      <c r="AN35" s="23" t="n">
        <f aca="false">AN30+AN34</f>
        <v>9827500</v>
      </c>
      <c r="AO35" s="23" t="n">
        <f aca="false">AO30+AO34</f>
        <v>9827500</v>
      </c>
      <c r="AP35" s="23" t="n">
        <f aca="false">AP30+AP34</f>
        <v>9827500</v>
      </c>
      <c r="AQ35" s="23" t="n">
        <f aca="false">AQ30+AQ34</f>
        <v>9827500</v>
      </c>
      <c r="AR35" s="23" t="n">
        <f aca="false">AR30+AR34</f>
        <v>9827500</v>
      </c>
      <c r="AS35" s="23" t="n">
        <f aca="false">AS30+AS34</f>
        <v>9827500</v>
      </c>
      <c r="AT35" s="23" t="n">
        <f aca="false">AT30+AT34</f>
        <v>9827500</v>
      </c>
      <c r="AU35" s="23" t="n">
        <f aca="false">AU30+AU34</f>
        <v>9827500</v>
      </c>
      <c r="AV35" s="23" t="n">
        <f aca="false">AV30+AV34</f>
        <v>9827500</v>
      </c>
      <c r="AW35" s="23" t="n">
        <f aca="false">AW30+AW34</f>
        <v>9827500</v>
      </c>
      <c r="AX35" s="23" t="n">
        <f aca="false">AX30+AX34</f>
        <v>9827500</v>
      </c>
      <c r="AY35" s="23" t="n">
        <f aca="false">AY30+AY34</f>
        <v>9827500</v>
      </c>
      <c r="AZ35" s="23" t="n">
        <f aca="false">AZ30+AZ34</f>
        <v>9827500</v>
      </c>
      <c r="BA35" s="23" t="n">
        <f aca="false">BA30+BA34</f>
        <v>9827500</v>
      </c>
      <c r="BB35" s="23" t="n">
        <f aca="false">BB30+BB34</f>
        <v>9827500</v>
      </c>
      <c r="BC35" s="23" t="n">
        <f aca="false">BC30+BC34</f>
        <v>9827500</v>
      </c>
      <c r="BD35" s="23" t="n">
        <f aca="false">BD30+BD34</f>
        <v>9827500</v>
      </c>
      <c r="BE35" s="23" t="n">
        <f aca="false">BE30+BE34</f>
        <v>9827500</v>
      </c>
      <c r="BF35" s="23" t="n">
        <f aca="false">BF30+BF34</f>
        <v>9827500</v>
      </c>
      <c r="BG35" s="23" t="n">
        <f aca="false">BG30+BG34</f>
        <v>9827500</v>
      </c>
      <c r="BH35" s="23" t="n">
        <f aca="false">BH30+BH34</f>
        <v>9827500</v>
      </c>
      <c r="BI35" s="23" t="n">
        <f aca="false">BI30+BI34</f>
        <v>9827500</v>
      </c>
      <c r="BJ35" s="23" t="n">
        <f aca="false">BJ30+BJ34</f>
        <v>9827500</v>
      </c>
      <c r="BK35" s="23" t="n">
        <f aca="false">BK30+BK34</f>
        <v>9827500</v>
      </c>
      <c r="BL35" s="23" t="n">
        <f aca="false">BL30+BL34</f>
        <v>9827500</v>
      </c>
      <c r="BM35" s="23" t="n">
        <f aca="false">BM30+BM34</f>
        <v>9827500</v>
      </c>
      <c r="BN35" s="23" t="n">
        <f aca="false">BN30+BN34</f>
        <v>9827500</v>
      </c>
      <c r="BO35" s="23" t="n">
        <f aca="false">BO30+BO34</f>
        <v>9827500</v>
      </c>
      <c r="BP35" s="23" t="n">
        <f aca="false">BP30+BP34</f>
        <v>9827500</v>
      </c>
      <c r="BQ35" s="23" t="n">
        <f aca="false">BQ30+BQ34</f>
        <v>9827500</v>
      </c>
      <c r="BR35" s="23" t="n">
        <f aca="false">BR30+BR34</f>
        <v>9827500</v>
      </c>
      <c r="BS35" s="23" t="n">
        <f aca="false">BS30+BS34</f>
        <v>9827500</v>
      </c>
      <c r="BT35" s="23" t="n">
        <f aca="false">BT30+BT34</f>
        <v>9827500</v>
      </c>
      <c r="BU35" s="23" t="n">
        <f aca="false">BU30+BU34</f>
        <v>9827500</v>
      </c>
      <c r="BV35" s="23" t="n">
        <f aca="false">BV30+BV34</f>
        <v>9827500</v>
      </c>
      <c r="BW35" s="23" t="n">
        <f aca="false">BW30+BW34</f>
        <v>9827500</v>
      </c>
      <c r="BX35" s="23" t="n">
        <f aca="false">BX30+BX34</f>
        <v>9827500</v>
      </c>
      <c r="BY35" s="23" t="n">
        <f aca="false">BY30+BY34</f>
        <v>9827500</v>
      </c>
      <c r="BZ35" s="23" t="n">
        <f aca="false">BZ30+BZ34</f>
        <v>9827500</v>
      </c>
      <c r="CA35" s="23" t="n">
        <f aca="false">CA30+CA34</f>
        <v>9827500</v>
      </c>
      <c r="CB35" s="23" t="n">
        <f aca="false">CB30+CB34</f>
        <v>9827500</v>
      </c>
      <c r="CC35" s="23" t="n">
        <f aca="false">CC30+CC34</f>
        <v>9827500</v>
      </c>
      <c r="CD35" s="23" t="n">
        <f aca="false">CD30+CD34</f>
        <v>9827500</v>
      </c>
      <c r="CE35" s="23" t="n">
        <f aca="false">CE30+CE34</f>
        <v>9827500</v>
      </c>
      <c r="CF35" s="23" t="n">
        <f aca="false">CF30+CF34</f>
        <v>9827500</v>
      </c>
      <c r="CG35" s="23" t="n">
        <f aca="false">CG30+CG34</f>
        <v>9827500</v>
      </c>
      <c r="CH35" s="23" t="n">
        <f aca="false">CH30+CH34</f>
        <v>9827500</v>
      </c>
      <c r="CI35" s="23" t="n">
        <f aca="false">CI30+CI34</f>
        <v>9827500</v>
      </c>
      <c r="CJ35" s="23" t="n">
        <f aca="false">CJ30+CJ34</f>
        <v>9827500</v>
      </c>
      <c r="CK35" s="23" t="n">
        <f aca="false">CK30+CK34</f>
        <v>9827500</v>
      </c>
      <c r="CL35" s="23" t="n">
        <f aca="false">CL30+CL34</f>
        <v>9827500</v>
      </c>
      <c r="CM35" s="23" t="n">
        <f aca="false">CM30+CM34</f>
        <v>9827500</v>
      </c>
      <c r="CN35" s="23" t="n">
        <f aca="false">CN30+CN34</f>
        <v>9827500</v>
      </c>
      <c r="CO35" s="23" t="n">
        <f aca="false">CO30+CO34</f>
        <v>9827500</v>
      </c>
      <c r="CP35" s="23" t="n">
        <f aca="false">CP30+CP34</f>
        <v>9827500</v>
      </c>
      <c r="CQ35" s="23" t="n">
        <f aca="false">CQ30+CQ34</f>
        <v>9827500</v>
      </c>
      <c r="CR35" s="23" t="n">
        <f aca="false">CR30+CR34</f>
        <v>9827500</v>
      </c>
      <c r="CS35" s="23" t="n">
        <f aca="false">CS30+CS34</f>
        <v>9827500</v>
      </c>
      <c r="CT35" s="23" t="n">
        <f aca="false">CT30+CT34</f>
        <v>9827500</v>
      </c>
      <c r="CU35" s="23" t="n">
        <f aca="false">CU30+CU34</f>
        <v>9827500</v>
      </c>
      <c r="CV35" s="23" t="n">
        <f aca="false">CV30+CV34</f>
        <v>9827500</v>
      </c>
      <c r="CW35" s="23" t="n">
        <f aca="false">CW30+CW34</f>
        <v>9827500</v>
      </c>
      <c r="CX35" s="23" t="n">
        <f aca="false">CX30+CX34</f>
        <v>9827500</v>
      </c>
      <c r="CY35" s="23" t="n">
        <f aca="false">CY30+CY34</f>
        <v>9827500</v>
      </c>
      <c r="CZ35" s="23" t="n">
        <f aca="false">CZ30+CZ34</f>
        <v>9827500</v>
      </c>
      <c r="DA35" s="23" t="n">
        <f aca="false">DA30+DA34</f>
        <v>9827500</v>
      </c>
      <c r="DB35" s="23" t="n">
        <f aca="false">DB30+DB34</f>
        <v>9827500</v>
      </c>
      <c r="DC35" s="23" t="n">
        <f aca="false">DC30+DC34</f>
        <v>9827500</v>
      </c>
      <c r="DD35" s="23" t="n">
        <f aca="false">DD30+DD34</f>
        <v>9827500</v>
      </c>
      <c r="DE35" s="23" t="n">
        <f aca="false">DE30+DE34</f>
        <v>9827500</v>
      </c>
      <c r="DF35" s="23" t="n">
        <f aca="false">DF30+DF34</f>
        <v>9827500</v>
      </c>
      <c r="DG35" s="23" t="n">
        <f aca="false">DG30+DG34</f>
        <v>9827500</v>
      </c>
      <c r="DH35" s="23" t="n">
        <f aca="false">DH30+DH34</f>
        <v>9827500</v>
      </c>
      <c r="DI35" s="23" t="n">
        <f aca="false">DI30+DI34</f>
        <v>9827500</v>
      </c>
      <c r="DJ35" s="23" t="n">
        <f aca="false">DJ30+DJ34</f>
        <v>9827500</v>
      </c>
      <c r="DK35" s="23" t="n">
        <f aca="false">DK30+DK34</f>
        <v>9827500</v>
      </c>
      <c r="DL35" s="23" t="n">
        <f aca="false">DL30+DL34</f>
        <v>9827500</v>
      </c>
      <c r="DM35" s="23" t="n">
        <f aca="false">DM30+DM34</f>
        <v>9827500</v>
      </c>
      <c r="DN35" s="23" t="n">
        <f aca="false">DN30+DN34</f>
        <v>9827500</v>
      </c>
      <c r="DO35" s="23" t="n">
        <f aca="false">DO30+DO34</f>
        <v>9827500</v>
      </c>
      <c r="DP35" s="23" t="n">
        <f aca="false">DP30+DP34</f>
        <v>9827500</v>
      </c>
      <c r="DQ35" s="23" t="n">
        <f aca="false">DQ30+DQ34</f>
        <v>9827500</v>
      </c>
      <c r="DR35" s="23" t="n">
        <f aca="false">DR30+DR34</f>
        <v>9827500</v>
      </c>
      <c r="DS35" s="23" t="n">
        <f aca="false">DS30+DS34</f>
        <v>9827500</v>
      </c>
      <c r="DT35" s="23" t="n">
        <f aca="false">DT30+DT34</f>
        <v>9827500</v>
      </c>
      <c r="DU35" s="23" t="n">
        <f aca="false">DU30+DU34</f>
        <v>9827500</v>
      </c>
      <c r="DV35" s="23" t="n">
        <f aca="false">DV30+DV34</f>
        <v>9827500</v>
      </c>
      <c r="DW35" s="23" t="n">
        <f aca="false">DW30+DW34</f>
        <v>9827500</v>
      </c>
      <c r="DX35" s="23" t="n">
        <f aca="false">DX30+DX34</f>
        <v>9827500</v>
      </c>
      <c r="DY35" s="23" t="n">
        <f aca="false">DY30+DY34</f>
        <v>9827500</v>
      </c>
      <c r="DZ35" s="23" t="n">
        <f aca="false">DZ30+DZ34</f>
        <v>9827500</v>
      </c>
      <c r="EA35" s="23" t="n">
        <f aca="false">EA30+EA34</f>
        <v>9827500</v>
      </c>
      <c r="EB35" s="23" t="n">
        <f aca="false">EB30+EB34</f>
        <v>0</v>
      </c>
      <c r="EC35" s="23" t="n">
        <f aca="false">EC30+EC34</f>
        <v>0</v>
      </c>
      <c r="ED35" s="23" t="n">
        <f aca="false">ED30+ED34</f>
        <v>0</v>
      </c>
      <c r="EE35" s="23" t="n">
        <f aca="false">EE30+EE34</f>
        <v>0</v>
      </c>
      <c r="EF35" s="23" t="n">
        <f aca="false">EF30+EF34</f>
        <v>0</v>
      </c>
      <c r="EG35" s="23" t="n">
        <f aca="false">EG30+EG34</f>
        <v>0</v>
      </c>
      <c r="EH35" s="23" t="n">
        <f aca="false">EH30+EH34</f>
        <v>0</v>
      </c>
      <c r="EI35" s="23" t="n">
        <f aca="false">EI30+EI34</f>
        <v>0</v>
      </c>
      <c r="EJ35" s="23" t="n">
        <f aca="false">EJ30+EJ34</f>
        <v>0</v>
      </c>
      <c r="EK35" s="23" t="n">
        <f aca="false">EK30+EK34</f>
        <v>0</v>
      </c>
      <c r="EL35" s="23" t="n">
        <f aca="false">EL30+EL34</f>
        <v>0</v>
      </c>
      <c r="EM35" s="23" t="n">
        <f aca="false">EM30+EM34</f>
        <v>0</v>
      </c>
      <c r="EN35" s="23" t="n">
        <f aca="false">EN30+EN34</f>
        <v>0</v>
      </c>
      <c r="EO35" s="23" t="n">
        <f aca="false">EO30+EO34</f>
        <v>0</v>
      </c>
      <c r="EP35" s="23" t="n">
        <f aca="false">EP30+EP34</f>
        <v>0</v>
      </c>
      <c r="EQ35" s="23" t="n">
        <f aca="false">EQ30+EQ34</f>
        <v>0</v>
      </c>
      <c r="ER35" s="23" t="n">
        <f aca="false">ER30+ER34</f>
        <v>0</v>
      </c>
      <c r="ES35" s="23" t="n">
        <f aca="false">ES30+ES34</f>
        <v>0</v>
      </c>
      <c r="ET35" s="23" t="n">
        <f aca="false">ET30+ET34</f>
        <v>0</v>
      </c>
      <c r="EU35" s="23" t="n">
        <f aca="false">EU30+EU34</f>
        <v>0</v>
      </c>
      <c r="EV35" s="23" t="n">
        <f aca="false">EV30+EV34</f>
        <v>0</v>
      </c>
      <c r="EW35" s="23" t="n">
        <f aca="false">EW30+EW34</f>
        <v>0</v>
      </c>
      <c r="EX35" s="23" t="n">
        <f aca="false">EX30+EX34</f>
        <v>0</v>
      </c>
      <c r="EY35" s="23" t="n">
        <f aca="false">EY30+EY34</f>
        <v>0</v>
      </c>
      <c r="EZ35" s="23" t="n">
        <f aca="false">EZ30+EZ34</f>
        <v>0</v>
      </c>
      <c r="FA35" s="23" t="n">
        <f aca="false">FA30+FA34</f>
        <v>0</v>
      </c>
      <c r="FB35" s="23" t="n">
        <f aca="false">FB30+FB34</f>
        <v>0</v>
      </c>
      <c r="FC35" s="23" t="n">
        <f aca="false">FC30+FC34</f>
        <v>0</v>
      </c>
      <c r="FD35" s="23" t="n">
        <f aca="false">FD30+FD34</f>
        <v>0</v>
      </c>
      <c r="FE35" s="23" t="n">
        <f aca="false">FE30+FE34</f>
        <v>0</v>
      </c>
      <c r="FF35" s="23" t="n">
        <f aca="false">FF30+FF34</f>
        <v>0</v>
      </c>
      <c r="FG35" s="23" t="n">
        <f aca="false">FG30+FG34</f>
        <v>0</v>
      </c>
      <c r="FH35" s="23" t="n">
        <f aca="false">FH30+FH34</f>
        <v>0</v>
      </c>
      <c r="FI35" s="23" t="n">
        <f aca="false">FI30+FI34</f>
        <v>0</v>
      </c>
      <c r="FJ35" s="23" t="n">
        <f aca="false">FJ30+FJ34</f>
        <v>0</v>
      </c>
      <c r="FK35" s="23" t="n">
        <f aca="false">FK30+FK34</f>
        <v>0</v>
      </c>
    </row>
    <row r="37" customFormat="false" ht="15" hidden="false" customHeight="true" outlineLevel="0" collapsed="false">
      <c r="D37" s="20" t="s">
        <v>83</v>
      </c>
    </row>
    <row r="38" customFormat="false" ht="15" hidden="false" customHeight="true" outlineLevel="0" collapsed="false">
      <c r="D38" s="21" t="s">
        <v>84</v>
      </c>
      <c r="E38" s="7" t="s">
        <v>28</v>
      </c>
      <c r="F38" s="22" t="n">
        <f aca="false">SUM(H38:FK38)</f>
        <v>133725000</v>
      </c>
      <c r="H38" s="23" t="n">
        <f aca="false">H78</f>
        <v>0</v>
      </c>
      <c r="I38" s="23" t="n">
        <f aca="false">I78</f>
        <v>0</v>
      </c>
      <c r="J38" s="23" t="n">
        <f aca="false">J78</f>
        <v>0</v>
      </c>
      <c r="K38" s="23" t="n">
        <f aca="false">K78</f>
        <v>0</v>
      </c>
      <c r="L38" s="23" t="n">
        <f aca="false">L78</f>
        <v>0</v>
      </c>
      <c r="M38" s="23" t="n">
        <f aca="false">M78</f>
        <v>0</v>
      </c>
      <c r="N38" s="23" t="n">
        <f aca="false">N78</f>
        <v>0</v>
      </c>
      <c r="O38" s="23" t="n">
        <f aca="false">O78</f>
        <v>0</v>
      </c>
      <c r="P38" s="23" t="n">
        <f aca="false">P78</f>
        <v>0</v>
      </c>
      <c r="Q38" s="23" t="n">
        <f aca="false">Q78</f>
        <v>0</v>
      </c>
      <c r="R38" s="23" t="n">
        <f aca="false">R78</f>
        <v>0</v>
      </c>
      <c r="S38" s="23" t="n">
        <f aca="false">S78</f>
        <v>0</v>
      </c>
      <c r="T38" s="23" t="n">
        <f aca="false">T78</f>
        <v>0</v>
      </c>
      <c r="U38" s="23" t="n">
        <f aca="false">U78</f>
        <v>0</v>
      </c>
      <c r="V38" s="23" t="n">
        <f aca="false">V78</f>
        <v>0</v>
      </c>
      <c r="W38" s="23" t="n">
        <f aca="false">W78</f>
        <v>0</v>
      </c>
      <c r="X38" s="23" t="n">
        <f aca="false">X78</f>
        <v>0</v>
      </c>
      <c r="Y38" s="23" t="n">
        <f aca="false">Y78</f>
        <v>0</v>
      </c>
      <c r="Z38" s="23" t="n">
        <f aca="false">Z78</f>
        <v>0</v>
      </c>
      <c r="AA38" s="23" t="n">
        <f aca="false">AA78</f>
        <v>0</v>
      </c>
      <c r="AB38" s="23" t="n">
        <f aca="false">AB78</f>
        <v>0</v>
      </c>
      <c r="AC38" s="23" t="n">
        <f aca="false">AC78</f>
        <v>0</v>
      </c>
      <c r="AD38" s="23" t="n">
        <f aca="false">AD78</f>
        <v>0</v>
      </c>
      <c r="AE38" s="23" t="n">
        <f aca="false">AE78</f>
        <v>0</v>
      </c>
      <c r="AF38" s="23" t="n">
        <f aca="false">AF78</f>
        <v>0</v>
      </c>
      <c r="AG38" s="23" t="n">
        <f aca="false">AG78</f>
        <v>0</v>
      </c>
      <c r="AH38" s="23" t="n">
        <f aca="false">AH78</f>
        <v>0</v>
      </c>
      <c r="AI38" s="23" t="n">
        <f aca="false">AI78</f>
        <v>223125</v>
      </c>
      <c r="AJ38" s="23" t="n">
        <f aca="false">AJ78</f>
        <v>420625</v>
      </c>
      <c r="AK38" s="23" t="n">
        <f aca="false">AK78</f>
        <v>445937.5</v>
      </c>
      <c r="AL38" s="23" t="n">
        <f aca="false">AL78</f>
        <v>471250</v>
      </c>
      <c r="AM38" s="23" t="n">
        <f aca="false">AM78</f>
        <v>496562.5</v>
      </c>
      <c r="AN38" s="23" t="n">
        <f aca="false">AN78</f>
        <v>521875</v>
      </c>
      <c r="AO38" s="23" t="n">
        <f aca="false">AO78</f>
        <v>547187.5</v>
      </c>
      <c r="AP38" s="23" t="n">
        <f aca="false">AP78</f>
        <v>572500</v>
      </c>
      <c r="AQ38" s="23" t="n">
        <f aca="false">AQ78</f>
        <v>597812.5</v>
      </c>
      <c r="AR38" s="23" t="n">
        <f aca="false">AR78</f>
        <v>623125</v>
      </c>
      <c r="AS38" s="23" t="n">
        <f aca="false">AS78</f>
        <v>648437.5</v>
      </c>
      <c r="AT38" s="23" t="n">
        <f aca="false">AT78</f>
        <v>673750</v>
      </c>
      <c r="AU38" s="23" t="n">
        <f aca="false">AU78</f>
        <v>699062.5</v>
      </c>
      <c r="AV38" s="23" t="n">
        <f aca="false">AV78</f>
        <v>724375</v>
      </c>
      <c r="AW38" s="23" t="n">
        <f aca="false">AW78</f>
        <v>749687.5</v>
      </c>
      <c r="AX38" s="23" t="n">
        <f aca="false">AX78</f>
        <v>775000</v>
      </c>
      <c r="AY38" s="23" t="n">
        <f aca="false">AY78</f>
        <v>800312.5</v>
      </c>
      <c r="AZ38" s="23" t="n">
        <f aca="false">AZ78</f>
        <v>825625</v>
      </c>
      <c r="BA38" s="23" t="n">
        <f aca="false">BA78</f>
        <v>850937.5</v>
      </c>
      <c r="BB38" s="23" t="n">
        <f aca="false">BB78</f>
        <v>876250</v>
      </c>
      <c r="BC38" s="23" t="n">
        <f aca="false">BC78</f>
        <v>901562.5</v>
      </c>
      <c r="BD38" s="23" t="n">
        <f aca="false">BD78</f>
        <v>926875</v>
      </c>
      <c r="BE38" s="23" t="n">
        <f aca="false">BE78</f>
        <v>952187.5</v>
      </c>
      <c r="BF38" s="23" t="n">
        <f aca="false">BF78</f>
        <v>977500</v>
      </c>
      <c r="BG38" s="23" t="n">
        <f aca="false">BG78</f>
        <v>1002812.5</v>
      </c>
      <c r="BH38" s="23" t="n">
        <f aca="false">BH78</f>
        <v>1028125</v>
      </c>
      <c r="BI38" s="23" t="n">
        <f aca="false">BI78</f>
        <v>1053437.5</v>
      </c>
      <c r="BJ38" s="23" t="n">
        <f aca="false">BJ78</f>
        <v>1078750</v>
      </c>
      <c r="BK38" s="23" t="n">
        <f aca="false">BK78</f>
        <v>1104062.5</v>
      </c>
      <c r="BL38" s="23" t="n">
        <f aca="false">BL78</f>
        <v>1129375</v>
      </c>
      <c r="BM38" s="23" t="n">
        <f aca="false">BM78</f>
        <v>1154687.5</v>
      </c>
      <c r="BN38" s="23" t="n">
        <f aca="false">BN78</f>
        <v>1180000</v>
      </c>
      <c r="BO38" s="23" t="n">
        <f aca="false">BO78</f>
        <v>1205312.5</v>
      </c>
      <c r="BP38" s="23" t="n">
        <f aca="false">BP78</f>
        <v>1230625</v>
      </c>
      <c r="BQ38" s="23" t="n">
        <f aca="false">BQ78</f>
        <v>1255937.5</v>
      </c>
      <c r="BR38" s="23" t="n">
        <f aca="false">BR78</f>
        <v>1281250</v>
      </c>
      <c r="BS38" s="23" t="n">
        <f aca="false">BS78</f>
        <v>1306562.5</v>
      </c>
      <c r="BT38" s="23" t="n">
        <f aca="false">BT78</f>
        <v>1331875</v>
      </c>
      <c r="BU38" s="23" t="n">
        <f aca="false">BU78</f>
        <v>1331875</v>
      </c>
      <c r="BV38" s="23" t="n">
        <f aca="false">BV78</f>
        <v>1331875</v>
      </c>
      <c r="BW38" s="23" t="n">
        <f aca="false">BW78</f>
        <v>1331875</v>
      </c>
      <c r="BX38" s="23" t="n">
        <f aca="false">BX78</f>
        <v>1331875</v>
      </c>
      <c r="BY38" s="23" t="n">
        <f aca="false">BY78</f>
        <v>1331875</v>
      </c>
      <c r="BZ38" s="23" t="n">
        <f aca="false">BZ78</f>
        <v>1331875</v>
      </c>
      <c r="CA38" s="23" t="n">
        <f aca="false">CA78</f>
        <v>1331875</v>
      </c>
      <c r="CB38" s="23" t="n">
        <f aca="false">CB78</f>
        <v>1331875</v>
      </c>
      <c r="CC38" s="23" t="n">
        <f aca="false">CC78</f>
        <v>1331875</v>
      </c>
      <c r="CD38" s="23" t="n">
        <f aca="false">CD78</f>
        <v>1331875</v>
      </c>
      <c r="CE38" s="23" t="n">
        <f aca="false">CE78</f>
        <v>1331875</v>
      </c>
      <c r="CF38" s="23" t="n">
        <f aca="false">CF78</f>
        <v>1331875</v>
      </c>
      <c r="CG38" s="23" t="n">
        <f aca="false">CG78</f>
        <v>1331875</v>
      </c>
      <c r="CH38" s="23" t="n">
        <f aca="false">CH78</f>
        <v>1331875</v>
      </c>
      <c r="CI38" s="23" t="n">
        <f aca="false">CI78</f>
        <v>1331875</v>
      </c>
      <c r="CJ38" s="23" t="n">
        <f aca="false">CJ78</f>
        <v>1331875</v>
      </c>
      <c r="CK38" s="23" t="n">
        <f aca="false">CK78</f>
        <v>1331875</v>
      </c>
      <c r="CL38" s="23" t="n">
        <f aca="false">CL78</f>
        <v>1331875</v>
      </c>
      <c r="CM38" s="23" t="n">
        <f aca="false">CM78</f>
        <v>1331875</v>
      </c>
      <c r="CN38" s="23" t="n">
        <f aca="false">CN78</f>
        <v>1331875</v>
      </c>
      <c r="CO38" s="23" t="n">
        <f aca="false">CO78</f>
        <v>1331875</v>
      </c>
      <c r="CP38" s="23" t="n">
        <f aca="false">CP78</f>
        <v>1331875</v>
      </c>
      <c r="CQ38" s="23" t="n">
        <f aca="false">CQ78</f>
        <v>1331875</v>
      </c>
      <c r="CR38" s="23" t="n">
        <f aca="false">CR78</f>
        <v>1331875</v>
      </c>
      <c r="CS38" s="23" t="n">
        <f aca="false">CS78</f>
        <v>1331875</v>
      </c>
      <c r="CT38" s="23" t="n">
        <f aca="false">CT78</f>
        <v>1331875</v>
      </c>
      <c r="CU38" s="23" t="n">
        <f aca="false">CU78</f>
        <v>1331875</v>
      </c>
      <c r="CV38" s="23" t="n">
        <f aca="false">CV78</f>
        <v>1331875</v>
      </c>
      <c r="CW38" s="23" t="n">
        <f aca="false">CW78</f>
        <v>1331875</v>
      </c>
      <c r="CX38" s="23" t="n">
        <f aca="false">CX78</f>
        <v>1331875</v>
      </c>
      <c r="CY38" s="23" t="n">
        <f aca="false">CY78</f>
        <v>1331875</v>
      </c>
      <c r="CZ38" s="23" t="n">
        <f aca="false">CZ78</f>
        <v>1331875</v>
      </c>
      <c r="DA38" s="23" t="n">
        <f aca="false">DA78</f>
        <v>1331875</v>
      </c>
      <c r="DB38" s="23" t="n">
        <f aca="false">DB78</f>
        <v>1331875</v>
      </c>
      <c r="DC38" s="23" t="n">
        <f aca="false">DC78</f>
        <v>1331875</v>
      </c>
      <c r="DD38" s="23" t="n">
        <f aca="false">DD78</f>
        <v>1331875</v>
      </c>
      <c r="DE38" s="23" t="n">
        <f aca="false">DE78</f>
        <v>1331875</v>
      </c>
      <c r="DF38" s="23" t="n">
        <f aca="false">DF78</f>
        <v>1331875</v>
      </c>
      <c r="DG38" s="23" t="n">
        <f aca="false">DG78</f>
        <v>1331875</v>
      </c>
      <c r="DH38" s="23" t="n">
        <f aca="false">DH78</f>
        <v>2456875</v>
      </c>
      <c r="DI38" s="23" t="n">
        <f aca="false">DI78</f>
        <v>2456875</v>
      </c>
      <c r="DJ38" s="23" t="n">
        <f aca="false">DJ78</f>
        <v>2456875</v>
      </c>
      <c r="DK38" s="23" t="n">
        <f aca="false">DK78</f>
        <v>2456875</v>
      </c>
      <c r="DL38" s="23" t="n">
        <f aca="false">DL78</f>
        <v>2456875</v>
      </c>
      <c r="DM38" s="23" t="n">
        <f aca="false">DM78</f>
        <v>2456875</v>
      </c>
      <c r="DN38" s="23" t="n">
        <f aca="false">DN78</f>
        <v>2456875</v>
      </c>
      <c r="DO38" s="23" t="n">
        <f aca="false">DO78</f>
        <v>2456875</v>
      </c>
      <c r="DP38" s="23" t="n">
        <f aca="false">DP78</f>
        <v>2456875</v>
      </c>
      <c r="DQ38" s="23" t="n">
        <f aca="false">DQ78</f>
        <v>2456875</v>
      </c>
      <c r="DR38" s="23" t="n">
        <f aca="false">DR78</f>
        <v>2456875</v>
      </c>
      <c r="DS38" s="23" t="n">
        <f aca="false">DS78</f>
        <v>2456875</v>
      </c>
      <c r="DT38" s="23" t="n">
        <f aca="false">DT78</f>
        <v>2456875</v>
      </c>
      <c r="DU38" s="23" t="n">
        <f aca="false">DU78</f>
        <v>2456875</v>
      </c>
      <c r="DV38" s="23" t="n">
        <f aca="false">DV78</f>
        <v>2456875</v>
      </c>
      <c r="DW38" s="23" t="n">
        <f aca="false">DW78</f>
        <v>2456875</v>
      </c>
      <c r="DX38" s="23" t="n">
        <f aca="false">DX78</f>
        <v>2456875</v>
      </c>
      <c r="DY38" s="23" t="n">
        <f aca="false">DY78</f>
        <v>2456875</v>
      </c>
      <c r="DZ38" s="23" t="n">
        <f aca="false">DZ78</f>
        <v>2456875</v>
      </c>
      <c r="EA38" s="23" t="n">
        <f aca="false">EA78</f>
        <v>2456875</v>
      </c>
      <c r="EB38" s="23" t="n">
        <f aca="false">EB78</f>
        <v>0</v>
      </c>
      <c r="EC38" s="23" t="n">
        <f aca="false">EC78</f>
        <v>0</v>
      </c>
      <c r="ED38" s="23" t="n">
        <f aca="false">ED78</f>
        <v>0</v>
      </c>
      <c r="EE38" s="23" t="n">
        <f aca="false">EE78</f>
        <v>0</v>
      </c>
      <c r="EF38" s="23" t="n">
        <f aca="false">EF78</f>
        <v>0</v>
      </c>
      <c r="EG38" s="23" t="n">
        <f aca="false">EG78</f>
        <v>0</v>
      </c>
      <c r="EH38" s="23" t="n">
        <f aca="false">EH78</f>
        <v>0</v>
      </c>
      <c r="EI38" s="23" t="n">
        <f aca="false">EI78</f>
        <v>0</v>
      </c>
      <c r="EJ38" s="23" t="n">
        <f aca="false">EJ78</f>
        <v>0</v>
      </c>
      <c r="EK38" s="23" t="n">
        <f aca="false">EK78</f>
        <v>0</v>
      </c>
      <c r="EL38" s="23" t="n">
        <f aca="false">EL78</f>
        <v>0</v>
      </c>
      <c r="EM38" s="23" t="n">
        <f aca="false">EM78</f>
        <v>0</v>
      </c>
      <c r="EN38" s="23" t="n">
        <f aca="false">EN78</f>
        <v>0</v>
      </c>
      <c r="EO38" s="23" t="n">
        <f aca="false">EO78</f>
        <v>0</v>
      </c>
      <c r="EP38" s="23" t="n">
        <f aca="false">EP78</f>
        <v>0</v>
      </c>
      <c r="EQ38" s="23" t="n">
        <f aca="false">EQ78</f>
        <v>0</v>
      </c>
      <c r="ER38" s="23" t="n">
        <f aca="false">ER78</f>
        <v>0</v>
      </c>
      <c r="ES38" s="23" t="n">
        <f aca="false">ES78</f>
        <v>0</v>
      </c>
      <c r="ET38" s="23" t="n">
        <f aca="false">ET78</f>
        <v>0</v>
      </c>
      <c r="EU38" s="23" t="n">
        <f aca="false">EU78</f>
        <v>0</v>
      </c>
      <c r="EV38" s="23" t="n">
        <f aca="false">EV78</f>
        <v>0</v>
      </c>
      <c r="EW38" s="23" t="n">
        <f aca="false">EW78</f>
        <v>0</v>
      </c>
      <c r="EX38" s="23" t="n">
        <f aca="false">EX78</f>
        <v>0</v>
      </c>
      <c r="EY38" s="23" t="n">
        <f aca="false">EY78</f>
        <v>0</v>
      </c>
      <c r="EZ38" s="23" t="n">
        <f aca="false">EZ78</f>
        <v>0</v>
      </c>
      <c r="FA38" s="23" t="n">
        <f aca="false">FA78</f>
        <v>0</v>
      </c>
      <c r="FB38" s="23" t="n">
        <f aca="false">FB78</f>
        <v>0</v>
      </c>
      <c r="FC38" s="23" t="n">
        <f aca="false">FC78</f>
        <v>0</v>
      </c>
      <c r="FD38" s="23" t="n">
        <f aca="false">FD78</f>
        <v>0</v>
      </c>
      <c r="FE38" s="23" t="n">
        <f aca="false">FE78</f>
        <v>0</v>
      </c>
      <c r="FF38" s="23" t="n">
        <f aca="false">FF78</f>
        <v>0</v>
      </c>
      <c r="FG38" s="23" t="n">
        <f aca="false">FG78</f>
        <v>0</v>
      </c>
      <c r="FH38" s="23" t="n">
        <f aca="false">FH78</f>
        <v>0</v>
      </c>
      <c r="FI38" s="23" t="n">
        <f aca="false">FI78</f>
        <v>0</v>
      </c>
      <c r="FJ38" s="23" t="n">
        <f aca="false">FJ78</f>
        <v>0</v>
      </c>
      <c r="FK38" s="23" t="n">
        <f aca="false">FK78</f>
        <v>0</v>
      </c>
    </row>
    <row r="39" customFormat="false" ht="15" hidden="false" customHeight="true" outlineLevel="0" collapsed="false">
      <c r="D39" s="21" t="s">
        <v>85</v>
      </c>
      <c r="E39" s="7" t="s">
        <v>28</v>
      </c>
      <c r="F39" s="22" t="n">
        <f aca="false">SUM(H39:FK39)</f>
        <v>1045575000</v>
      </c>
      <c r="H39" s="23" t="n">
        <f aca="false">H35-H38</f>
        <v>0</v>
      </c>
      <c r="I39" s="23" t="n">
        <f aca="false">I35-I38</f>
        <v>0</v>
      </c>
      <c r="J39" s="23" t="n">
        <f aca="false">J35-J38</f>
        <v>0</v>
      </c>
      <c r="K39" s="23" t="n">
        <f aca="false">K35-K38</f>
        <v>0</v>
      </c>
      <c r="L39" s="23" t="n">
        <f aca="false">L35-L38</f>
        <v>9827500</v>
      </c>
      <c r="M39" s="23" t="n">
        <f aca="false">M35-M38</f>
        <v>9827500</v>
      </c>
      <c r="N39" s="23" t="n">
        <f aca="false">N35-N38</f>
        <v>9827500</v>
      </c>
      <c r="O39" s="23" t="n">
        <f aca="false">O35-O38</f>
        <v>9827500</v>
      </c>
      <c r="P39" s="23" t="n">
        <f aca="false">P35-P38</f>
        <v>9827500</v>
      </c>
      <c r="Q39" s="23" t="n">
        <f aca="false">Q35-Q38</f>
        <v>9827500</v>
      </c>
      <c r="R39" s="23" t="n">
        <f aca="false">R35-R38</f>
        <v>9827500</v>
      </c>
      <c r="S39" s="23" t="n">
        <f aca="false">S35-S38</f>
        <v>9827500</v>
      </c>
      <c r="T39" s="23" t="n">
        <f aca="false">T35-T38</f>
        <v>9827500</v>
      </c>
      <c r="U39" s="23" t="n">
        <f aca="false">U35-U38</f>
        <v>9827500</v>
      </c>
      <c r="V39" s="23" t="n">
        <f aca="false">V35-V38</f>
        <v>9827500</v>
      </c>
      <c r="W39" s="23" t="n">
        <f aca="false">W35-W38</f>
        <v>9827500</v>
      </c>
      <c r="X39" s="23" t="n">
        <f aca="false">X35-X38</f>
        <v>9827500</v>
      </c>
      <c r="Y39" s="23" t="n">
        <f aca="false">Y35-Y38</f>
        <v>9827500</v>
      </c>
      <c r="Z39" s="23" t="n">
        <f aca="false">Z35-Z38</f>
        <v>9827500</v>
      </c>
      <c r="AA39" s="23" t="n">
        <f aca="false">AA35-AA38</f>
        <v>9827500</v>
      </c>
      <c r="AB39" s="23" t="n">
        <f aca="false">AB35-AB38</f>
        <v>9827500</v>
      </c>
      <c r="AC39" s="23" t="n">
        <f aca="false">AC35-AC38</f>
        <v>9827500</v>
      </c>
      <c r="AD39" s="23" t="n">
        <f aca="false">AD35-AD38</f>
        <v>9827500</v>
      </c>
      <c r="AE39" s="23" t="n">
        <f aca="false">AE35-AE38</f>
        <v>9827500</v>
      </c>
      <c r="AF39" s="23" t="n">
        <f aca="false">AF35-AF38</f>
        <v>9827500</v>
      </c>
      <c r="AG39" s="23" t="n">
        <f aca="false">AG35-AG38</f>
        <v>9827500</v>
      </c>
      <c r="AH39" s="23" t="n">
        <f aca="false">AH35-AH38</f>
        <v>9827500</v>
      </c>
      <c r="AI39" s="23" t="n">
        <f aca="false">AI35-AI38</f>
        <v>9604375</v>
      </c>
      <c r="AJ39" s="23" t="n">
        <f aca="false">AJ35-AJ38</f>
        <v>9406875</v>
      </c>
      <c r="AK39" s="23" t="n">
        <f aca="false">AK35-AK38</f>
        <v>9381562.5</v>
      </c>
      <c r="AL39" s="23" t="n">
        <f aca="false">AL35-AL38</f>
        <v>9356250</v>
      </c>
      <c r="AM39" s="23" t="n">
        <f aca="false">AM35-AM38</f>
        <v>9330937.5</v>
      </c>
      <c r="AN39" s="23" t="n">
        <f aca="false">AN35-AN38</f>
        <v>9305625</v>
      </c>
      <c r="AO39" s="23" t="n">
        <f aca="false">AO35-AO38</f>
        <v>9280312.5</v>
      </c>
      <c r="AP39" s="23" t="n">
        <f aca="false">AP35-AP38</f>
        <v>9255000</v>
      </c>
      <c r="AQ39" s="23" t="n">
        <f aca="false">AQ35-AQ38</f>
        <v>9229687.5</v>
      </c>
      <c r="AR39" s="23" t="n">
        <f aca="false">AR35-AR38</f>
        <v>9204375</v>
      </c>
      <c r="AS39" s="23" t="n">
        <f aca="false">AS35-AS38</f>
        <v>9179062.5</v>
      </c>
      <c r="AT39" s="23" t="n">
        <f aca="false">AT35-AT38</f>
        <v>9153750</v>
      </c>
      <c r="AU39" s="23" t="n">
        <f aca="false">AU35-AU38</f>
        <v>9128437.5</v>
      </c>
      <c r="AV39" s="23" t="n">
        <f aca="false">AV35-AV38</f>
        <v>9103125</v>
      </c>
      <c r="AW39" s="23" t="n">
        <f aca="false">AW35-AW38</f>
        <v>9077812.5</v>
      </c>
      <c r="AX39" s="23" t="n">
        <f aca="false">AX35-AX38</f>
        <v>9052500</v>
      </c>
      <c r="AY39" s="23" t="n">
        <f aca="false">AY35-AY38</f>
        <v>9027187.5</v>
      </c>
      <c r="AZ39" s="23" t="n">
        <f aca="false">AZ35-AZ38</f>
        <v>9001875</v>
      </c>
      <c r="BA39" s="23" t="n">
        <f aca="false">BA35-BA38</f>
        <v>8976562.5</v>
      </c>
      <c r="BB39" s="23" t="n">
        <f aca="false">BB35-BB38</f>
        <v>8951250</v>
      </c>
      <c r="BC39" s="23" t="n">
        <f aca="false">BC35-BC38</f>
        <v>8925937.5</v>
      </c>
      <c r="BD39" s="23" t="n">
        <f aca="false">BD35-BD38</f>
        <v>8900625</v>
      </c>
      <c r="BE39" s="23" t="n">
        <f aca="false">BE35-BE38</f>
        <v>8875312.5</v>
      </c>
      <c r="BF39" s="23" t="n">
        <f aca="false">BF35-BF38</f>
        <v>8850000</v>
      </c>
      <c r="BG39" s="23" t="n">
        <f aca="false">BG35-BG38</f>
        <v>8824687.5</v>
      </c>
      <c r="BH39" s="23" t="n">
        <f aca="false">BH35-BH38</f>
        <v>8799375</v>
      </c>
      <c r="BI39" s="23" t="n">
        <f aca="false">BI35-BI38</f>
        <v>8774062.5</v>
      </c>
      <c r="BJ39" s="23" t="n">
        <f aca="false">BJ35-BJ38</f>
        <v>8748750</v>
      </c>
      <c r="BK39" s="23" t="n">
        <f aca="false">BK35-BK38</f>
        <v>8723437.5</v>
      </c>
      <c r="BL39" s="23" t="n">
        <f aca="false">BL35-BL38</f>
        <v>8698125</v>
      </c>
      <c r="BM39" s="23" t="n">
        <f aca="false">BM35-BM38</f>
        <v>8672812.5</v>
      </c>
      <c r="BN39" s="23" t="n">
        <f aca="false">BN35-BN38</f>
        <v>8647500</v>
      </c>
      <c r="BO39" s="23" t="n">
        <f aca="false">BO35-BO38</f>
        <v>8622187.5</v>
      </c>
      <c r="BP39" s="23" t="n">
        <f aca="false">BP35-BP38</f>
        <v>8596875</v>
      </c>
      <c r="BQ39" s="23" t="n">
        <f aca="false">BQ35-BQ38</f>
        <v>8571562.5</v>
      </c>
      <c r="BR39" s="23" t="n">
        <f aca="false">BR35-BR38</f>
        <v>8546250</v>
      </c>
      <c r="BS39" s="23" t="n">
        <f aca="false">BS35-BS38</f>
        <v>8520937.5</v>
      </c>
      <c r="BT39" s="23" t="n">
        <f aca="false">BT35-BT38</f>
        <v>8495625</v>
      </c>
      <c r="BU39" s="23" t="n">
        <f aca="false">BU35-BU38</f>
        <v>8495625</v>
      </c>
      <c r="BV39" s="23" t="n">
        <f aca="false">BV35-BV38</f>
        <v>8495625</v>
      </c>
      <c r="BW39" s="23" t="n">
        <f aca="false">BW35-BW38</f>
        <v>8495625</v>
      </c>
      <c r="BX39" s="23" t="n">
        <f aca="false">BX35-BX38</f>
        <v>8495625</v>
      </c>
      <c r="BY39" s="23" t="n">
        <f aca="false">BY35-BY38</f>
        <v>8495625</v>
      </c>
      <c r="BZ39" s="23" t="n">
        <f aca="false">BZ35-BZ38</f>
        <v>8495625</v>
      </c>
      <c r="CA39" s="23" t="n">
        <f aca="false">CA35-CA38</f>
        <v>8495625</v>
      </c>
      <c r="CB39" s="23" t="n">
        <f aca="false">CB35-CB38</f>
        <v>8495625</v>
      </c>
      <c r="CC39" s="23" t="n">
        <f aca="false">CC35-CC38</f>
        <v>8495625</v>
      </c>
      <c r="CD39" s="23" t="n">
        <f aca="false">CD35-CD38</f>
        <v>8495625</v>
      </c>
      <c r="CE39" s="23" t="n">
        <f aca="false">CE35-CE38</f>
        <v>8495625</v>
      </c>
      <c r="CF39" s="23" t="n">
        <f aca="false">CF35-CF38</f>
        <v>8495625</v>
      </c>
      <c r="CG39" s="23" t="n">
        <f aca="false">CG35-CG38</f>
        <v>8495625</v>
      </c>
      <c r="CH39" s="23" t="n">
        <f aca="false">CH35-CH38</f>
        <v>8495625</v>
      </c>
      <c r="CI39" s="23" t="n">
        <f aca="false">CI35-CI38</f>
        <v>8495625</v>
      </c>
      <c r="CJ39" s="23" t="n">
        <f aca="false">CJ35-CJ38</f>
        <v>8495625</v>
      </c>
      <c r="CK39" s="23" t="n">
        <f aca="false">CK35-CK38</f>
        <v>8495625</v>
      </c>
      <c r="CL39" s="23" t="n">
        <f aca="false">CL35-CL38</f>
        <v>8495625</v>
      </c>
      <c r="CM39" s="23" t="n">
        <f aca="false">CM35-CM38</f>
        <v>8495625</v>
      </c>
      <c r="CN39" s="23" t="n">
        <f aca="false">CN35-CN38</f>
        <v>8495625</v>
      </c>
      <c r="CO39" s="23" t="n">
        <f aca="false">CO35-CO38</f>
        <v>8495625</v>
      </c>
      <c r="CP39" s="23" t="n">
        <f aca="false">CP35-CP38</f>
        <v>8495625</v>
      </c>
      <c r="CQ39" s="23" t="n">
        <f aca="false">CQ35-CQ38</f>
        <v>8495625</v>
      </c>
      <c r="CR39" s="23" t="n">
        <f aca="false">CR35-CR38</f>
        <v>8495625</v>
      </c>
      <c r="CS39" s="23" t="n">
        <f aca="false">CS35-CS38</f>
        <v>8495625</v>
      </c>
      <c r="CT39" s="23" t="n">
        <f aca="false">CT35-CT38</f>
        <v>8495625</v>
      </c>
      <c r="CU39" s="23" t="n">
        <f aca="false">CU35-CU38</f>
        <v>8495625</v>
      </c>
      <c r="CV39" s="23" t="n">
        <f aca="false">CV35-CV38</f>
        <v>8495625</v>
      </c>
      <c r="CW39" s="23" t="n">
        <f aca="false">CW35-CW38</f>
        <v>8495625</v>
      </c>
      <c r="CX39" s="23" t="n">
        <f aca="false">CX35-CX38</f>
        <v>8495625</v>
      </c>
      <c r="CY39" s="23" t="n">
        <f aca="false">CY35-CY38</f>
        <v>8495625</v>
      </c>
      <c r="CZ39" s="23" t="n">
        <f aca="false">CZ35-CZ38</f>
        <v>8495625</v>
      </c>
      <c r="DA39" s="23" t="n">
        <f aca="false">DA35-DA38</f>
        <v>8495625</v>
      </c>
      <c r="DB39" s="23" t="n">
        <f aca="false">DB35-DB38</f>
        <v>8495625</v>
      </c>
      <c r="DC39" s="23" t="n">
        <f aca="false">DC35-DC38</f>
        <v>8495625</v>
      </c>
      <c r="DD39" s="23" t="n">
        <f aca="false">DD35-DD38</f>
        <v>8495625</v>
      </c>
      <c r="DE39" s="23" t="n">
        <f aca="false">DE35-DE38</f>
        <v>8495625</v>
      </c>
      <c r="DF39" s="23" t="n">
        <f aca="false">DF35-DF38</f>
        <v>8495625</v>
      </c>
      <c r="DG39" s="23" t="n">
        <f aca="false">DG35-DG38</f>
        <v>8495625</v>
      </c>
      <c r="DH39" s="23" t="n">
        <f aca="false">DH35-DH38</f>
        <v>7370625</v>
      </c>
      <c r="DI39" s="23" t="n">
        <f aca="false">DI35-DI38</f>
        <v>7370625</v>
      </c>
      <c r="DJ39" s="23" t="n">
        <f aca="false">DJ35-DJ38</f>
        <v>7370625</v>
      </c>
      <c r="DK39" s="23" t="n">
        <f aca="false">DK35-DK38</f>
        <v>7370625</v>
      </c>
      <c r="DL39" s="23" t="n">
        <f aca="false">DL35-DL38</f>
        <v>7370625</v>
      </c>
      <c r="DM39" s="23" t="n">
        <f aca="false">DM35-DM38</f>
        <v>7370625</v>
      </c>
      <c r="DN39" s="23" t="n">
        <f aca="false">DN35-DN38</f>
        <v>7370625</v>
      </c>
      <c r="DO39" s="23" t="n">
        <f aca="false">DO35-DO38</f>
        <v>7370625</v>
      </c>
      <c r="DP39" s="23" t="n">
        <f aca="false">DP35-DP38</f>
        <v>7370625</v>
      </c>
      <c r="DQ39" s="23" t="n">
        <f aca="false">DQ35-DQ38</f>
        <v>7370625</v>
      </c>
      <c r="DR39" s="23" t="n">
        <f aca="false">DR35-DR38</f>
        <v>7370625</v>
      </c>
      <c r="DS39" s="23" t="n">
        <f aca="false">DS35-DS38</f>
        <v>7370625</v>
      </c>
      <c r="DT39" s="23" t="n">
        <f aca="false">DT35-DT38</f>
        <v>7370625</v>
      </c>
      <c r="DU39" s="23" t="n">
        <f aca="false">DU35-DU38</f>
        <v>7370625</v>
      </c>
      <c r="DV39" s="23" t="n">
        <f aca="false">DV35-DV38</f>
        <v>7370625</v>
      </c>
      <c r="DW39" s="23" t="n">
        <f aca="false">DW35-DW38</f>
        <v>7370625</v>
      </c>
      <c r="DX39" s="23" t="n">
        <f aca="false">DX35-DX38</f>
        <v>7370625</v>
      </c>
      <c r="DY39" s="23" t="n">
        <f aca="false">DY35-DY38</f>
        <v>7370625</v>
      </c>
      <c r="DZ39" s="23" t="n">
        <f aca="false">DZ35-DZ38</f>
        <v>7370625</v>
      </c>
      <c r="EA39" s="23" t="n">
        <f aca="false">EA35-EA38</f>
        <v>7370625</v>
      </c>
      <c r="EB39" s="23" t="n">
        <f aca="false">EB35-EB38</f>
        <v>0</v>
      </c>
      <c r="EC39" s="23" t="n">
        <f aca="false">EC35-EC38</f>
        <v>0</v>
      </c>
      <c r="ED39" s="23" t="n">
        <f aca="false">ED35-ED38</f>
        <v>0</v>
      </c>
      <c r="EE39" s="23" t="n">
        <f aca="false">EE35-EE38</f>
        <v>0</v>
      </c>
      <c r="EF39" s="23" t="n">
        <f aca="false">EF35-EF38</f>
        <v>0</v>
      </c>
      <c r="EG39" s="23" t="n">
        <f aca="false">EG35-EG38</f>
        <v>0</v>
      </c>
      <c r="EH39" s="23" t="n">
        <f aca="false">EH35-EH38</f>
        <v>0</v>
      </c>
      <c r="EI39" s="23" t="n">
        <f aca="false">EI35-EI38</f>
        <v>0</v>
      </c>
      <c r="EJ39" s="23" t="n">
        <f aca="false">EJ35-EJ38</f>
        <v>0</v>
      </c>
      <c r="EK39" s="23" t="n">
        <f aca="false">EK35-EK38</f>
        <v>0</v>
      </c>
      <c r="EL39" s="23" t="n">
        <f aca="false">EL35-EL38</f>
        <v>0</v>
      </c>
      <c r="EM39" s="23" t="n">
        <f aca="false">EM35-EM38</f>
        <v>0</v>
      </c>
      <c r="EN39" s="23" t="n">
        <f aca="false">EN35-EN38</f>
        <v>0</v>
      </c>
      <c r="EO39" s="23" t="n">
        <f aca="false">EO35-EO38</f>
        <v>0</v>
      </c>
      <c r="EP39" s="23" t="n">
        <f aca="false">EP35-EP38</f>
        <v>0</v>
      </c>
      <c r="EQ39" s="23" t="n">
        <f aca="false">EQ35-EQ38</f>
        <v>0</v>
      </c>
      <c r="ER39" s="23" t="n">
        <f aca="false">ER35-ER38</f>
        <v>0</v>
      </c>
      <c r="ES39" s="23" t="n">
        <f aca="false">ES35-ES38</f>
        <v>0</v>
      </c>
      <c r="ET39" s="23" t="n">
        <f aca="false">ET35-ET38</f>
        <v>0</v>
      </c>
      <c r="EU39" s="23" t="n">
        <f aca="false">EU35-EU38</f>
        <v>0</v>
      </c>
      <c r="EV39" s="23" t="n">
        <f aca="false">EV35-EV38</f>
        <v>0</v>
      </c>
      <c r="EW39" s="23" t="n">
        <f aca="false">EW35-EW38</f>
        <v>0</v>
      </c>
      <c r="EX39" s="23" t="n">
        <f aca="false">EX35-EX38</f>
        <v>0</v>
      </c>
      <c r="EY39" s="23" t="n">
        <f aca="false">EY35-EY38</f>
        <v>0</v>
      </c>
      <c r="EZ39" s="23" t="n">
        <f aca="false">EZ35-EZ38</f>
        <v>0</v>
      </c>
      <c r="FA39" s="23" t="n">
        <f aca="false">FA35-FA38</f>
        <v>0</v>
      </c>
      <c r="FB39" s="23" t="n">
        <f aca="false">FB35-FB38</f>
        <v>0</v>
      </c>
      <c r="FC39" s="23" t="n">
        <f aca="false">FC35-FC38</f>
        <v>0</v>
      </c>
      <c r="FD39" s="23" t="n">
        <f aca="false">FD35-FD38</f>
        <v>0</v>
      </c>
      <c r="FE39" s="23" t="n">
        <f aca="false">FE35-FE38</f>
        <v>0</v>
      </c>
      <c r="FF39" s="23" t="n">
        <f aca="false">FF35-FF38</f>
        <v>0</v>
      </c>
      <c r="FG39" s="23" t="n">
        <f aca="false">FG35-FG38</f>
        <v>0</v>
      </c>
      <c r="FH39" s="23" t="n">
        <f aca="false">FH35-FH38</f>
        <v>0</v>
      </c>
      <c r="FI39" s="23" t="n">
        <f aca="false">FI35-FI38</f>
        <v>0</v>
      </c>
      <c r="FJ39" s="23" t="n">
        <f aca="false">FJ35-FJ38</f>
        <v>0</v>
      </c>
      <c r="FK39" s="23" t="n">
        <f aca="false">FK35-FK38</f>
        <v>0</v>
      </c>
    </row>
    <row r="40" customFormat="false" ht="15" hidden="false" customHeight="true" outlineLevel="0" collapsed="false">
      <c r="D40" s="21" t="s">
        <v>86</v>
      </c>
      <c r="E40" s="7" t="s">
        <v>28</v>
      </c>
      <c r="F40" s="22" t="n">
        <f aca="false">SUM(H40:FK40)</f>
        <v>-194400000</v>
      </c>
      <c r="H40" s="23" t="n">
        <f aca="false">H57</f>
        <v>-0</v>
      </c>
      <c r="I40" s="23" t="n">
        <f aca="false">I57</f>
        <v>-1518750</v>
      </c>
      <c r="J40" s="23" t="n">
        <f aca="false">J57</f>
        <v>-3037500</v>
      </c>
      <c r="K40" s="23" t="n">
        <f aca="false">K57</f>
        <v>-4556250</v>
      </c>
      <c r="L40" s="23" t="n">
        <f aca="false">L57</f>
        <v>-6075000</v>
      </c>
      <c r="M40" s="23" t="n">
        <f aca="false">M57</f>
        <v>-5973750</v>
      </c>
      <c r="N40" s="23" t="n">
        <f aca="false">N57</f>
        <v>-5872500</v>
      </c>
      <c r="O40" s="23" t="n">
        <f aca="false">O57</f>
        <v>-5771250</v>
      </c>
      <c r="P40" s="23" t="n">
        <f aca="false">P57</f>
        <v>-5670000</v>
      </c>
      <c r="Q40" s="23" t="n">
        <f aca="false">Q57</f>
        <v>-5568750</v>
      </c>
      <c r="R40" s="23" t="n">
        <f aca="false">R57</f>
        <v>-5467500</v>
      </c>
      <c r="S40" s="23" t="n">
        <f aca="false">S57</f>
        <v>-5366250</v>
      </c>
      <c r="T40" s="23" t="n">
        <f aca="false">T57</f>
        <v>-5265000</v>
      </c>
      <c r="U40" s="23" t="n">
        <f aca="false">U57</f>
        <v>-5163750</v>
      </c>
      <c r="V40" s="23" t="n">
        <f aca="false">V57</f>
        <v>-5062500</v>
      </c>
      <c r="W40" s="23" t="n">
        <f aca="false">W57</f>
        <v>-4961250</v>
      </c>
      <c r="X40" s="23" t="n">
        <f aca="false">X57</f>
        <v>-4860000</v>
      </c>
      <c r="Y40" s="23" t="n">
        <f aca="false">Y57</f>
        <v>-4758750</v>
      </c>
      <c r="Z40" s="23" t="n">
        <f aca="false">Z57</f>
        <v>-4657500</v>
      </c>
      <c r="AA40" s="23" t="n">
        <f aca="false">AA57</f>
        <v>-4556250</v>
      </c>
      <c r="AB40" s="23" t="n">
        <f aca="false">AB57</f>
        <v>-4455000</v>
      </c>
      <c r="AC40" s="23" t="n">
        <f aca="false">AC57</f>
        <v>-4353750</v>
      </c>
      <c r="AD40" s="23" t="n">
        <f aca="false">AD57</f>
        <v>-4252500</v>
      </c>
      <c r="AE40" s="23" t="n">
        <f aca="false">AE57</f>
        <v>-4151250</v>
      </c>
      <c r="AF40" s="23" t="n">
        <f aca="false">AF57</f>
        <v>-4050000</v>
      </c>
      <c r="AG40" s="23" t="n">
        <f aca="false">AG57</f>
        <v>-3948750</v>
      </c>
      <c r="AH40" s="23" t="n">
        <f aca="false">AH57</f>
        <v>-3847500</v>
      </c>
      <c r="AI40" s="23" t="n">
        <f aca="false">AI57</f>
        <v>-3746250</v>
      </c>
      <c r="AJ40" s="23" t="n">
        <f aca="false">AJ57</f>
        <v>-3645000</v>
      </c>
      <c r="AK40" s="23" t="n">
        <f aca="false">AK57</f>
        <v>-3543750</v>
      </c>
      <c r="AL40" s="23" t="n">
        <f aca="false">AL57</f>
        <v>-3442500</v>
      </c>
      <c r="AM40" s="23" t="n">
        <f aca="false">AM57</f>
        <v>-3341250</v>
      </c>
      <c r="AN40" s="23" t="n">
        <f aca="false">AN57</f>
        <v>-3240000</v>
      </c>
      <c r="AO40" s="23" t="n">
        <f aca="false">AO57</f>
        <v>-3138750</v>
      </c>
      <c r="AP40" s="23" t="n">
        <f aca="false">AP57</f>
        <v>-3037500</v>
      </c>
      <c r="AQ40" s="23" t="n">
        <f aca="false">AQ57</f>
        <v>-2936250</v>
      </c>
      <c r="AR40" s="23" t="n">
        <f aca="false">AR57</f>
        <v>-2835000</v>
      </c>
      <c r="AS40" s="23" t="n">
        <f aca="false">AS57</f>
        <v>-2733750</v>
      </c>
      <c r="AT40" s="23" t="n">
        <f aca="false">AT57</f>
        <v>-2632500</v>
      </c>
      <c r="AU40" s="23" t="n">
        <f aca="false">AU57</f>
        <v>-2531250</v>
      </c>
      <c r="AV40" s="23" t="n">
        <f aca="false">AV57</f>
        <v>-2430000</v>
      </c>
      <c r="AW40" s="23" t="n">
        <f aca="false">AW57</f>
        <v>-2328750</v>
      </c>
      <c r="AX40" s="23" t="n">
        <f aca="false">AX57</f>
        <v>-2227500</v>
      </c>
      <c r="AY40" s="23" t="n">
        <f aca="false">AY57</f>
        <v>-2126250</v>
      </c>
      <c r="AZ40" s="23" t="n">
        <f aca="false">AZ57</f>
        <v>-2025000</v>
      </c>
      <c r="BA40" s="23" t="n">
        <f aca="false">BA57</f>
        <v>-1923750</v>
      </c>
      <c r="BB40" s="23" t="n">
        <f aca="false">BB57</f>
        <v>-1822500</v>
      </c>
      <c r="BC40" s="23" t="n">
        <f aca="false">BC57</f>
        <v>-1721250</v>
      </c>
      <c r="BD40" s="23" t="n">
        <f aca="false">BD57</f>
        <v>-1620000</v>
      </c>
      <c r="BE40" s="23" t="n">
        <f aca="false">BE57</f>
        <v>-1518750</v>
      </c>
      <c r="BF40" s="23" t="n">
        <f aca="false">BF57</f>
        <v>-1417500</v>
      </c>
      <c r="BG40" s="23" t="n">
        <f aca="false">BG57</f>
        <v>-1316250</v>
      </c>
      <c r="BH40" s="23" t="n">
        <f aca="false">BH57</f>
        <v>-1215000</v>
      </c>
      <c r="BI40" s="23" t="n">
        <f aca="false">BI57</f>
        <v>-1113750</v>
      </c>
      <c r="BJ40" s="23" t="n">
        <f aca="false">BJ57</f>
        <v>-1012500</v>
      </c>
      <c r="BK40" s="23" t="n">
        <f aca="false">BK57</f>
        <v>-911250</v>
      </c>
      <c r="BL40" s="23" t="n">
        <f aca="false">BL57</f>
        <v>-810000</v>
      </c>
      <c r="BM40" s="23" t="n">
        <f aca="false">BM57</f>
        <v>-708750</v>
      </c>
      <c r="BN40" s="23" t="n">
        <f aca="false">BN57</f>
        <v>-607500</v>
      </c>
      <c r="BO40" s="23" t="n">
        <f aca="false">BO57</f>
        <v>-506250</v>
      </c>
      <c r="BP40" s="23" t="n">
        <f aca="false">BP57</f>
        <v>-405000</v>
      </c>
      <c r="BQ40" s="23" t="n">
        <f aca="false">BQ57</f>
        <v>-303750</v>
      </c>
      <c r="BR40" s="23" t="n">
        <f aca="false">BR57</f>
        <v>-202500</v>
      </c>
      <c r="BS40" s="23" t="n">
        <f aca="false">BS57</f>
        <v>-101250</v>
      </c>
      <c r="BT40" s="23" t="n">
        <f aca="false">BT57</f>
        <v>-0</v>
      </c>
      <c r="BU40" s="23" t="n">
        <f aca="false">BU57</f>
        <v>-0</v>
      </c>
      <c r="BV40" s="23" t="n">
        <f aca="false">BV57</f>
        <v>-0</v>
      </c>
      <c r="BW40" s="23" t="n">
        <f aca="false">BW57</f>
        <v>-0</v>
      </c>
      <c r="BX40" s="23" t="n">
        <f aca="false">BX57</f>
        <v>-0</v>
      </c>
      <c r="BY40" s="23" t="n">
        <f aca="false">BY57</f>
        <v>-0</v>
      </c>
      <c r="BZ40" s="23" t="n">
        <f aca="false">BZ57</f>
        <v>-0</v>
      </c>
      <c r="CA40" s="23" t="n">
        <f aca="false">CA57</f>
        <v>-0</v>
      </c>
      <c r="CB40" s="23" t="n">
        <f aca="false">CB57</f>
        <v>-0</v>
      </c>
      <c r="CC40" s="23" t="n">
        <f aca="false">CC57</f>
        <v>-0</v>
      </c>
      <c r="CD40" s="23" t="n">
        <f aca="false">CD57</f>
        <v>-0</v>
      </c>
      <c r="CE40" s="23" t="n">
        <f aca="false">CE57</f>
        <v>-0</v>
      </c>
      <c r="CF40" s="23" t="n">
        <f aca="false">CF57</f>
        <v>-0</v>
      </c>
      <c r="CG40" s="23" t="n">
        <f aca="false">CG57</f>
        <v>-0</v>
      </c>
      <c r="CH40" s="23" t="n">
        <f aca="false">CH57</f>
        <v>-0</v>
      </c>
      <c r="CI40" s="23" t="n">
        <f aca="false">CI57</f>
        <v>-0</v>
      </c>
      <c r="CJ40" s="23" t="n">
        <f aca="false">CJ57</f>
        <v>-0</v>
      </c>
      <c r="CK40" s="23" t="n">
        <f aca="false">CK57</f>
        <v>-0</v>
      </c>
      <c r="CL40" s="23" t="n">
        <f aca="false">CL57</f>
        <v>-0</v>
      </c>
      <c r="CM40" s="23" t="n">
        <f aca="false">CM57</f>
        <v>-0</v>
      </c>
      <c r="CN40" s="23" t="n">
        <f aca="false">CN57</f>
        <v>-0</v>
      </c>
      <c r="CO40" s="23" t="n">
        <f aca="false">CO57</f>
        <v>-0</v>
      </c>
      <c r="CP40" s="23" t="n">
        <f aca="false">CP57</f>
        <v>-0</v>
      </c>
      <c r="CQ40" s="23" t="n">
        <f aca="false">CQ57</f>
        <v>-0</v>
      </c>
      <c r="CR40" s="23" t="n">
        <f aca="false">CR57</f>
        <v>-0</v>
      </c>
      <c r="CS40" s="23" t="n">
        <f aca="false">CS57</f>
        <v>-0</v>
      </c>
      <c r="CT40" s="23" t="n">
        <f aca="false">CT57</f>
        <v>-0</v>
      </c>
      <c r="CU40" s="23" t="n">
        <f aca="false">CU57</f>
        <v>-0</v>
      </c>
      <c r="CV40" s="23" t="n">
        <f aca="false">CV57</f>
        <v>-0</v>
      </c>
      <c r="CW40" s="23" t="n">
        <f aca="false">CW57</f>
        <v>-0</v>
      </c>
      <c r="CX40" s="23" t="n">
        <f aca="false">CX57</f>
        <v>-0</v>
      </c>
      <c r="CY40" s="23" t="n">
        <f aca="false">CY57</f>
        <v>-0</v>
      </c>
      <c r="CZ40" s="23" t="n">
        <f aca="false">CZ57</f>
        <v>-0</v>
      </c>
      <c r="DA40" s="23" t="n">
        <f aca="false">DA57</f>
        <v>-0</v>
      </c>
      <c r="DB40" s="23" t="n">
        <f aca="false">DB57</f>
        <v>-0</v>
      </c>
      <c r="DC40" s="23" t="n">
        <f aca="false">DC57</f>
        <v>-0</v>
      </c>
      <c r="DD40" s="23" t="n">
        <f aca="false">DD57</f>
        <v>-0</v>
      </c>
      <c r="DE40" s="23" t="n">
        <f aca="false">DE57</f>
        <v>-0</v>
      </c>
      <c r="DF40" s="23" t="n">
        <f aca="false">DF57</f>
        <v>-0</v>
      </c>
      <c r="DG40" s="23" t="n">
        <f aca="false">DG57</f>
        <v>-0</v>
      </c>
      <c r="DH40" s="23" t="n">
        <f aca="false">DH57</f>
        <v>-0</v>
      </c>
      <c r="DI40" s="23" t="n">
        <f aca="false">DI57</f>
        <v>-0</v>
      </c>
      <c r="DJ40" s="23" t="n">
        <f aca="false">DJ57</f>
        <v>-0</v>
      </c>
      <c r="DK40" s="23" t="n">
        <f aca="false">DK57</f>
        <v>-0</v>
      </c>
      <c r="DL40" s="23" t="n">
        <f aca="false">DL57</f>
        <v>-0</v>
      </c>
      <c r="DM40" s="23" t="n">
        <f aca="false">DM57</f>
        <v>-0</v>
      </c>
      <c r="DN40" s="23" t="n">
        <f aca="false">DN57</f>
        <v>-0</v>
      </c>
      <c r="DO40" s="23" t="n">
        <f aca="false">DO57</f>
        <v>-0</v>
      </c>
      <c r="DP40" s="23" t="n">
        <f aca="false">DP57</f>
        <v>-0</v>
      </c>
      <c r="DQ40" s="23" t="n">
        <f aca="false">DQ57</f>
        <v>-0</v>
      </c>
      <c r="DR40" s="23" t="n">
        <f aca="false">DR57</f>
        <v>-0</v>
      </c>
      <c r="DS40" s="23" t="n">
        <f aca="false">DS57</f>
        <v>-0</v>
      </c>
      <c r="DT40" s="23" t="n">
        <f aca="false">DT57</f>
        <v>-0</v>
      </c>
      <c r="DU40" s="23" t="n">
        <f aca="false">DU57</f>
        <v>-0</v>
      </c>
      <c r="DV40" s="23" t="n">
        <f aca="false">DV57</f>
        <v>-0</v>
      </c>
      <c r="DW40" s="23" t="n">
        <f aca="false">DW57</f>
        <v>-0</v>
      </c>
      <c r="DX40" s="23" t="n">
        <f aca="false">DX57</f>
        <v>-0</v>
      </c>
      <c r="DY40" s="23" t="n">
        <f aca="false">DY57</f>
        <v>-0</v>
      </c>
      <c r="DZ40" s="23" t="n">
        <f aca="false">DZ57</f>
        <v>-0</v>
      </c>
      <c r="EA40" s="23" t="n">
        <f aca="false">EA57</f>
        <v>-0</v>
      </c>
      <c r="EB40" s="23" t="n">
        <f aca="false">EB57</f>
        <v>-0</v>
      </c>
      <c r="EC40" s="23" t="n">
        <f aca="false">EC57</f>
        <v>-0</v>
      </c>
      <c r="ED40" s="23" t="n">
        <f aca="false">ED57</f>
        <v>-0</v>
      </c>
      <c r="EE40" s="23" t="n">
        <f aca="false">EE57</f>
        <v>-0</v>
      </c>
      <c r="EF40" s="23" t="n">
        <f aca="false">EF57</f>
        <v>-0</v>
      </c>
      <c r="EG40" s="23" t="n">
        <f aca="false">EG57</f>
        <v>-0</v>
      </c>
      <c r="EH40" s="23" t="n">
        <f aca="false">EH57</f>
        <v>-0</v>
      </c>
      <c r="EI40" s="23" t="n">
        <f aca="false">EI57</f>
        <v>-0</v>
      </c>
      <c r="EJ40" s="23" t="n">
        <f aca="false">EJ57</f>
        <v>-0</v>
      </c>
      <c r="EK40" s="23" t="n">
        <f aca="false">EK57</f>
        <v>-0</v>
      </c>
      <c r="EL40" s="23" t="n">
        <f aca="false">EL57</f>
        <v>-0</v>
      </c>
      <c r="EM40" s="23" t="n">
        <f aca="false">EM57</f>
        <v>-0</v>
      </c>
      <c r="EN40" s="23" t="n">
        <f aca="false">EN57</f>
        <v>-0</v>
      </c>
      <c r="EO40" s="23" t="n">
        <f aca="false">EO57</f>
        <v>-0</v>
      </c>
      <c r="EP40" s="23" t="n">
        <f aca="false">EP57</f>
        <v>-0</v>
      </c>
      <c r="EQ40" s="23" t="n">
        <f aca="false">EQ57</f>
        <v>-0</v>
      </c>
      <c r="ER40" s="23" t="n">
        <f aca="false">ER57</f>
        <v>-0</v>
      </c>
      <c r="ES40" s="23" t="n">
        <f aca="false">ES57</f>
        <v>-0</v>
      </c>
      <c r="ET40" s="23" t="n">
        <f aca="false">ET57</f>
        <v>-0</v>
      </c>
      <c r="EU40" s="23" t="n">
        <f aca="false">EU57</f>
        <v>-0</v>
      </c>
      <c r="EV40" s="23" t="n">
        <f aca="false">EV57</f>
        <v>-0</v>
      </c>
      <c r="EW40" s="23" t="n">
        <f aca="false">EW57</f>
        <v>-0</v>
      </c>
      <c r="EX40" s="23" t="n">
        <f aca="false">EX57</f>
        <v>-0</v>
      </c>
      <c r="EY40" s="23" t="n">
        <f aca="false">EY57</f>
        <v>-0</v>
      </c>
      <c r="EZ40" s="23" t="n">
        <f aca="false">EZ57</f>
        <v>-0</v>
      </c>
      <c r="FA40" s="23" t="n">
        <f aca="false">FA57</f>
        <v>-0</v>
      </c>
      <c r="FB40" s="23" t="n">
        <f aca="false">FB57</f>
        <v>-0</v>
      </c>
      <c r="FC40" s="23" t="n">
        <f aca="false">FC57</f>
        <v>-0</v>
      </c>
      <c r="FD40" s="23" t="n">
        <f aca="false">FD57</f>
        <v>-0</v>
      </c>
      <c r="FE40" s="23" t="n">
        <f aca="false">FE57</f>
        <v>-0</v>
      </c>
      <c r="FF40" s="23" t="n">
        <f aca="false">FF57</f>
        <v>-0</v>
      </c>
      <c r="FG40" s="23" t="n">
        <f aca="false">FG57</f>
        <v>-0</v>
      </c>
      <c r="FH40" s="23" t="n">
        <f aca="false">FH57</f>
        <v>-0</v>
      </c>
      <c r="FI40" s="23" t="n">
        <f aca="false">FI57</f>
        <v>-0</v>
      </c>
      <c r="FJ40" s="23" t="n">
        <f aca="false">FJ57</f>
        <v>-0</v>
      </c>
      <c r="FK40" s="23" t="n">
        <f aca="false">FK57</f>
        <v>-0</v>
      </c>
    </row>
    <row r="41" customFormat="false" ht="15" hidden="false" customHeight="true" outlineLevel="0" collapsed="false">
      <c r="D41" s="21" t="s">
        <v>87</v>
      </c>
      <c r="E41" s="7" t="s">
        <v>28</v>
      </c>
      <c r="F41" s="22" t="n">
        <f aca="false">SUM(H41:FK41)</f>
        <v>-270000000</v>
      </c>
      <c r="H41" s="23" t="n">
        <f aca="false">H58</f>
        <v>0</v>
      </c>
      <c r="I41" s="23" t="n">
        <f aca="false">I58</f>
        <v>0</v>
      </c>
      <c r="J41" s="23" t="n">
        <f aca="false">J58</f>
        <v>0</v>
      </c>
      <c r="K41" s="23" t="n">
        <f aca="false">K58</f>
        <v>0</v>
      </c>
      <c r="L41" s="23" t="n">
        <f aca="false">L58</f>
        <v>-4500000</v>
      </c>
      <c r="M41" s="23" t="n">
        <f aca="false">M58</f>
        <v>-4500000</v>
      </c>
      <c r="N41" s="23" t="n">
        <f aca="false">N58</f>
        <v>-4500000</v>
      </c>
      <c r="O41" s="23" t="n">
        <f aca="false">O58</f>
        <v>-4500000</v>
      </c>
      <c r="P41" s="23" t="n">
        <f aca="false">P58</f>
        <v>-4500000</v>
      </c>
      <c r="Q41" s="23" t="n">
        <f aca="false">Q58</f>
        <v>-4500000</v>
      </c>
      <c r="R41" s="23" t="n">
        <f aca="false">R58</f>
        <v>-4500000</v>
      </c>
      <c r="S41" s="23" t="n">
        <f aca="false">S58</f>
        <v>-4500000</v>
      </c>
      <c r="T41" s="23" t="n">
        <f aca="false">T58</f>
        <v>-4500000</v>
      </c>
      <c r="U41" s="23" t="n">
        <f aca="false">U58</f>
        <v>-4500000</v>
      </c>
      <c r="V41" s="23" t="n">
        <f aca="false">V58</f>
        <v>-4500000</v>
      </c>
      <c r="W41" s="23" t="n">
        <f aca="false">W58</f>
        <v>-4500000</v>
      </c>
      <c r="X41" s="23" t="n">
        <f aca="false">X58</f>
        <v>-4500000</v>
      </c>
      <c r="Y41" s="23" t="n">
        <f aca="false">Y58</f>
        <v>-4500000</v>
      </c>
      <c r="Z41" s="23" t="n">
        <f aca="false">Z58</f>
        <v>-4500000</v>
      </c>
      <c r="AA41" s="23" t="n">
        <f aca="false">AA58</f>
        <v>-4500000</v>
      </c>
      <c r="AB41" s="23" t="n">
        <f aca="false">AB58</f>
        <v>-4500000</v>
      </c>
      <c r="AC41" s="23" t="n">
        <f aca="false">AC58</f>
        <v>-4500000</v>
      </c>
      <c r="AD41" s="23" t="n">
        <f aca="false">AD58</f>
        <v>-4500000</v>
      </c>
      <c r="AE41" s="23" t="n">
        <f aca="false">AE58</f>
        <v>-4500000</v>
      </c>
      <c r="AF41" s="23" t="n">
        <f aca="false">AF58</f>
        <v>-4500000</v>
      </c>
      <c r="AG41" s="23" t="n">
        <f aca="false">AG58</f>
        <v>-4500000</v>
      </c>
      <c r="AH41" s="23" t="n">
        <f aca="false">AH58</f>
        <v>-4500000</v>
      </c>
      <c r="AI41" s="23" t="n">
        <f aca="false">AI58</f>
        <v>-4500000</v>
      </c>
      <c r="AJ41" s="23" t="n">
        <f aca="false">AJ58</f>
        <v>-4500000</v>
      </c>
      <c r="AK41" s="23" t="n">
        <f aca="false">AK58</f>
        <v>-4500000</v>
      </c>
      <c r="AL41" s="23" t="n">
        <f aca="false">AL58</f>
        <v>-4500000</v>
      </c>
      <c r="AM41" s="23" t="n">
        <f aca="false">AM58</f>
        <v>-4500000</v>
      </c>
      <c r="AN41" s="23" t="n">
        <f aca="false">AN58</f>
        <v>-4500000</v>
      </c>
      <c r="AO41" s="23" t="n">
        <f aca="false">AO58</f>
        <v>-4500000</v>
      </c>
      <c r="AP41" s="23" t="n">
        <f aca="false">AP58</f>
        <v>-4500000</v>
      </c>
      <c r="AQ41" s="23" t="n">
        <f aca="false">AQ58</f>
        <v>-4500000</v>
      </c>
      <c r="AR41" s="23" t="n">
        <f aca="false">AR58</f>
        <v>-4500000</v>
      </c>
      <c r="AS41" s="23" t="n">
        <f aca="false">AS58</f>
        <v>-4500000</v>
      </c>
      <c r="AT41" s="23" t="n">
        <f aca="false">AT58</f>
        <v>-4500000</v>
      </c>
      <c r="AU41" s="23" t="n">
        <f aca="false">AU58</f>
        <v>-4500000</v>
      </c>
      <c r="AV41" s="23" t="n">
        <f aca="false">AV58</f>
        <v>-4500000</v>
      </c>
      <c r="AW41" s="23" t="n">
        <f aca="false">AW58</f>
        <v>-4500000</v>
      </c>
      <c r="AX41" s="23" t="n">
        <f aca="false">AX58</f>
        <v>-4500000</v>
      </c>
      <c r="AY41" s="23" t="n">
        <f aca="false">AY58</f>
        <v>-4500000</v>
      </c>
      <c r="AZ41" s="23" t="n">
        <f aca="false">AZ58</f>
        <v>-4500000</v>
      </c>
      <c r="BA41" s="23" t="n">
        <f aca="false">BA58</f>
        <v>-4500000</v>
      </c>
      <c r="BB41" s="23" t="n">
        <f aca="false">BB58</f>
        <v>-4500000</v>
      </c>
      <c r="BC41" s="23" t="n">
        <f aca="false">BC58</f>
        <v>-4500000</v>
      </c>
      <c r="BD41" s="23" t="n">
        <f aca="false">BD58</f>
        <v>-4500000</v>
      </c>
      <c r="BE41" s="23" t="n">
        <f aca="false">BE58</f>
        <v>-4500000</v>
      </c>
      <c r="BF41" s="23" t="n">
        <f aca="false">BF58</f>
        <v>-4500000</v>
      </c>
      <c r="BG41" s="23" t="n">
        <f aca="false">BG58</f>
        <v>-4500000</v>
      </c>
      <c r="BH41" s="23" t="n">
        <f aca="false">BH58</f>
        <v>-4500000</v>
      </c>
      <c r="BI41" s="23" t="n">
        <f aca="false">BI58</f>
        <v>-4500000</v>
      </c>
      <c r="BJ41" s="23" t="n">
        <f aca="false">BJ58</f>
        <v>-4500000</v>
      </c>
      <c r="BK41" s="23" t="n">
        <f aca="false">BK58</f>
        <v>-4500000</v>
      </c>
      <c r="BL41" s="23" t="n">
        <f aca="false">BL58</f>
        <v>-4500000</v>
      </c>
      <c r="BM41" s="23" t="n">
        <f aca="false">BM58</f>
        <v>-4500000</v>
      </c>
      <c r="BN41" s="23" t="n">
        <f aca="false">BN58</f>
        <v>-4500000</v>
      </c>
      <c r="BO41" s="23" t="n">
        <f aca="false">BO58</f>
        <v>-4500000</v>
      </c>
      <c r="BP41" s="23" t="n">
        <f aca="false">BP58</f>
        <v>-4500000</v>
      </c>
      <c r="BQ41" s="23" t="n">
        <f aca="false">BQ58</f>
        <v>-4500000</v>
      </c>
      <c r="BR41" s="23" t="n">
        <f aca="false">BR58</f>
        <v>-4500000</v>
      </c>
      <c r="BS41" s="23" t="n">
        <f aca="false">BS58</f>
        <v>-4500000</v>
      </c>
      <c r="BT41" s="23" t="n">
        <f aca="false">BT58</f>
        <v>0</v>
      </c>
      <c r="BU41" s="23" t="n">
        <f aca="false">BU58</f>
        <v>0</v>
      </c>
      <c r="BV41" s="23" t="n">
        <f aca="false">BV58</f>
        <v>0</v>
      </c>
      <c r="BW41" s="23" t="n">
        <f aca="false">BW58</f>
        <v>0</v>
      </c>
      <c r="BX41" s="23" t="n">
        <f aca="false">BX58</f>
        <v>0</v>
      </c>
      <c r="BY41" s="23" t="n">
        <f aca="false">BY58</f>
        <v>0</v>
      </c>
      <c r="BZ41" s="23" t="n">
        <f aca="false">BZ58</f>
        <v>0</v>
      </c>
      <c r="CA41" s="23" t="n">
        <f aca="false">CA58</f>
        <v>0</v>
      </c>
      <c r="CB41" s="23" t="n">
        <f aca="false">CB58</f>
        <v>0</v>
      </c>
      <c r="CC41" s="23" t="n">
        <f aca="false">CC58</f>
        <v>0</v>
      </c>
      <c r="CD41" s="23" t="n">
        <f aca="false">CD58</f>
        <v>0</v>
      </c>
      <c r="CE41" s="23" t="n">
        <f aca="false">CE58</f>
        <v>0</v>
      </c>
      <c r="CF41" s="23" t="n">
        <f aca="false">CF58</f>
        <v>0</v>
      </c>
      <c r="CG41" s="23" t="n">
        <f aca="false">CG58</f>
        <v>0</v>
      </c>
      <c r="CH41" s="23" t="n">
        <f aca="false">CH58</f>
        <v>0</v>
      </c>
      <c r="CI41" s="23" t="n">
        <f aca="false">CI58</f>
        <v>0</v>
      </c>
      <c r="CJ41" s="23" t="n">
        <f aca="false">CJ58</f>
        <v>0</v>
      </c>
      <c r="CK41" s="23" t="n">
        <f aca="false">CK58</f>
        <v>0</v>
      </c>
      <c r="CL41" s="23" t="n">
        <f aca="false">CL58</f>
        <v>0</v>
      </c>
      <c r="CM41" s="23" t="n">
        <f aca="false">CM58</f>
        <v>0</v>
      </c>
      <c r="CN41" s="23" t="n">
        <f aca="false">CN58</f>
        <v>0</v>
      </c>
      <c r="CO41" s="23" t="n">
        <f aca="false">CO58</f>
        <v>0</v>
      </c>
      <c r="CP41" s="23" t="n">
        <f aca="false">CP58</f>
        <v>0</v>
      </c>
      <c r="CQ41" s="23" t="n">
        <f aca="false">CQ58</f>
        <v>0</v>
      </c>
      <c r="CR41" s="23" t="n">
        <f aca="false">CR58</f>
        <v>0</v>
      </c>
      <c r="CS41" s="23" t="n">
        <f aca="false">CS58</f>
        <v>0</v>
      </c>
      <c r="CT41" s="23" t="n">
        <f aca="false">CT58</f>
        <v>0</v>
      </c>
      <c r="CU41" s="23" t="n">
        <f aca="false">CU58</f>
        <v>0</v>
      </c>
      <c r="CV41" s="23" t="n">
        <f aca="false">CV58</f>
        <v>0</v>
      </c>
      <c r="CW41" s="23" t="n">
        <f aca="false">CW58</f>
        <v>0</v>
      </c>
      <c r="CX41" s="23" t="n">
        <f aca="false">CX58</f>
        <v>0</v>
      </c>
      <c r="CY41" s="23" t="n">
        <f aca="false">CY58</f>
        <v>0</v>
      </c>
      <c r="CZ41" s="23" t="n">
        <f aca="false">CZ58</f>
        <v>0</v>
      </c>
      <c r="DA41" s="23" t="n">
        <f aca="false">DA58</f>
        <v>0</v>
      </c>
      <c r="DB41" s="23" t="n">
        <f aca="false">DB58</f>
        <v>0</v>
      </c>
      <c r="DC41" s="23" t="n">
        <f aca="false">DC58</f>
        <v>0</v>
      </c>
      <c r="DD41" s="23" t="n">
        <f aca="false">DD58</f>
        <v>0</v>
      </c>
      <c r="DE41" s="23" t="n">
        <f aca="false">DE58</f>
        <v>0</v>
      </c>
      <c r="DF41" s="23" t="n">
        <f aca="false">DF58</f>
        <v>0</v>
      </c>
      <c r="DG41" s="23" t="n">
        <f aca="false">DG58</f>
        <v>0</v>
      </c>
      <c r="DH41" s="23" t="n">
        <f aca="false">DH58</f>
        <v>0</v>
      </c>
      <c r="DI41" s="23" t="n">
        <f aca="false">DI58</f>
        <v>0</v>
      </c>
      <c r="DJ41" s="23" t="n">
        <f aca="false">DJ58</f>
        <v>0</v>
      </c>
      <c r="DK41" s="23" t="n">
        <f aca="false">DK58</f>
        <v>0</v>
      </c>
      <c r="DL41" s="23" t="n">
        <f aca="false">DL58</f>
        <v>0</v>
      </c>
      <c r="DM41" s="23" t="n">
        <f aca="false">DM58</f>
        <v>0</v>
      </c>
      <c r="DN41" s="23" t="n">
        <f aca="false">DN58</f>
        <v>0</v>
      </c>
      <c r="DO41" s="23" t="n">
        <f aca="false">DO58</f>
        <v>0</v>
      </c>
      <c r="DP41" s="23" t="n">
        <f aca="false">DP58</f>
        <v>0</v>
      </c>
      <c r="DQ41" s="23" t="n">
        <f aca="false">DQ58</f>
        <v>0</v>
      </c>
      <c r="DR41" s="23" t="n">
        <f aca="false">DR58</f>
        <v>0</v>
      </c>
      <c r="DS41" s="23" t="n">
        <f aca="false">DS58</f>
        <v>0</v>
      </c>
      <c r="DT41" s="23" t="n">
        <f aca="false">DT58</f>
        <v>0</v>
      </c>
      <c r="DU41" s="23" t="n">
        <f aca="false">DU58</f>
        <v>0</v>
      </c>
      <c r="DV41" s="23" t="n">
        <f aca="false">DV58</f>
        <v>0</v>
      </c>
      <c r="DW41" s="23" t="n">
        <f aca="false">DW58</f>
        <v>0</v>
      </c>
      <c r="DX41" s="23" t="n">
        <f aca="false">DX58</f>
        <v>0</v>
      </c>
      <c r="DY41" s="23" t="n">
        <f aca="false">DY58</f>
        <v>0</v>
      </c>
      <c r="DZ41" s="23" t="n">
        <f aca="false">DZ58</f>
        <v>0</v>
      </c>
      <c r="EA41" s="23" t="n">
        <f aca="false">EA58</f>
        <v>0</v>
      </c>
      <c r="EB41" s="23" t="n">
        <f aca="false">EB58</f>
        <v>0</v>
      </c>
      <c r="EC41" s="23" t="n">
        <f aca="false">EC58</f>
        <v>0</v>
      </c>
      <c r="ED41" s="23" t="n">
        <f aca="false">ED58</f>
        <v>0</v>
      </c>
      <c r="EE41" s="23" t="n">
        <f aca="false">EE58</f>
        <v>0</v>
      </c>
      <c r="EF41" s="23" t="n">
        <f aca="false">EF58</f>
        <v>0</v>
      </c>
      <c r="EG41" s="23" t="n">
        <f aca="false">EG58</f>
        <v>0</v>
      </c>
      <c r="EH41" s="23" t="n">
        <f aca="false">EH58</f>
        <v>0</v>
      </c>
      <c r="EI41" s="23" t="n">
        <f aca="false">EI58</f>
        <v>0</v>
      </c>
      <c r="EJ41" s="23" t="n">
        <f aca="false">EJ58</f>
        <v>0</v>
      </c>
      <c r="EK41" s="23" t="n">
        <f aca="false">EK58</f>
        <v>0</v>
      </c>
      <c r="EL41" s="23" t="n">
        <f aca="false">EL58</f>
        <v>0</v>
      </c>
      <c r="EM41" s="23" t="n">
        <f aca="false">EM58</f>
        <v>0</v>
      </c>
      <c r="EN41" s="23" t="n">
        <f aca="false">EN58</f>
        <v>0</v>
      </c>
      <c r="EO41" s="23" t="n">
        <f aca="false">EO58</f>
        <v>0</v>
      </c>
      <c r="EP41" s="23" t="n">
        <f aca="false">EP58</f>
        <v>0</v>
      </c>
      <c r="EQ41" s="23" t="n">
        <f aca="false">EQ58</f>
        <v>0</v>
      </c>
      <c r="ER41" s="23" t="n">
        <f aca="false">ER58</f>
        <v>0</v>
      </c>
      <c r="ES41" s="23" t="n">
        <f aca="false">ES58</f>
        <v>0</v>
      </c>
      <c r="ET41" s="23" t="n">
        <f aca="false">ET58</f>
        <v>0</v>
      </c>
      <c r="EU41" s="23" t="n">
        <f aca="false">EU58</f>
        <v>0</v>
      </c>
      <c r="EV41" s="23" t="n">
        <f aca="false">EV58</f>
        <v>0</v>
      </c>
      <c r="EW41" s="23" t="n">
        <f aca="false">EW58</f>
        <v>0</v>
      </c>
      <c r="EX41" s="23" t="n">
        <f aca="false">EX58</f>
        <v>0</v>
      </c>
      <c r="EY41" s="23" t="n">
        <f aca="false">EY58</f>
        <v>0</v>
      </c>
      <c r="EZ41" s="23" t="n">
        <f aca="false">EZ58</f>
        <v>0</v>
      </c>
      <c r="FA41" s="23" t="n">
        <f aca="false">FA58</f>
        <v>0</v>
      </c>
      <c r="FB41" s="23" t="n">
        <f aca="false">FB58</f>
        <v>0</v>
      </c>
      <c r="FC41" s="23" t="n">
        <f aca="false">FC58</f>
        <v>0</v>
      </c>
      <c r="FD41" s="23" t="n">
        <f aca="false">FD58</f>
        <v>0</v>
      </c>
      <c r="FE41" s="23" t="n">
        <f aca="false">FE58</f>
        <v>0</v>
      </c>
      <c r="FF41" s="23" t="n">
        <f aca="false">FF58</f>
        <v>0</v>
      </c>
      <c r="FG41" s="23" t="n">
        <f aca="false">FG58</f>
        <v>0</v>
      </c>
      <c r="FH41" s="23" t="n">
        <f aca="false">FH58</f>
        <v>0</v>
      </c>
      <c r="FI41" s="23" t="n">
        <f aca="false">FI58</f>
        <v>0</v>
      </c>
      <c r="FJ41" s="23" t="n">
        <f aca="false">FJ58</f>
        <v>0</v>
      </c>
      <c r="FK41" s="23" t="n">
        <f aca="false">FK58</f>
        <v>0</v>
      </c>
    </row>
    <row r="42" customFormat="false" ht="15" hidden="false" customHeight="true" outlineLevel="0" collapsed="false">
      <c r="D42" s="21" t="s">
        <v>88</v>
      </c>
      <c r="E42" s="7" t="s">
        <v>28</v>
      </c>
      <c r="F42" s="22" t="n">
        <f aca="false">SUM(H42:FK42)</f>
        <v>-464400000</v>
      </c>
      <c r="H42" s="23" t="n">
        <f aca="false">H40+H41</f>
        <v>0</v>
      </c>
      <c r="I42" s="23" t="n">
        <f aca="false">I40+I41</f>
        <v>-1518750</v>
      </c>
      <c r="J42" s="23" t="n">
        <f aca="false">J40+J41</f>
        <v>-3037500</v>
      </c>
      <c r="K42" s="23" t="n">
        <f aca="false">K40+K41</f>
        <v>-4556250</v>
      </c>
      <c r="L42" s="23" t="n">
        <f aca="false">L40+L41</f>
        <v>-10575000</v>
      </c>
      <c r="M42" s="23" t="n">
        <f aca="false">M40+M41</f>
        <v>-10473750</v>
      </c>
      <c r="N42" s="23" t="n">
        <f aca="false">N40+N41</f>
        <v>-10372500</v>
      </c>
      <c r="O42" s="23" t="n">
        <f aca="false">O40+O41</f>
        <v>-10271250</v>
      </c>
      <c r="P42" s="23" t="n">
        <f aca="false">P40+P41</f>
        <v>-10170000</v>
      </c>
      <c r="Q42" s="23" t="n">
        <f aca="false">Q40+Q41</f>
        <v>-10068750</v>
      </c>
      <c r="R42" s="23" t="n">
        <f aca="false">R40+R41</f>
        <v>-9967500</v>
      </c>
      <c r="S42" s="23" t="n">
        <f aca="false">S40+S41</f>
        <v>-9866250</v>
      </c>
      <c r="T42" s="23" t="n">
        <f aca="false">T40+T41</f>
        <v>-9765000</v>
      </c>
      <c r="U42" s="23" t="n">
        <f aca="false">U40+U41</f>
        <v>-9663750</v>
      </c>
      <c r="V42" s="23" t="n">
        <f aca="false">V40+V41</f>
        <v>-9562500</v>
      </c>
      <c r="W42" s="23" t="n">
        <f aca="false">W40+W41</f>
        <v>-9461250</v>
      </c>
      <c r="X42" s="23" t="n">
        <f aca="false">X40+X41</f>
        <v>-9360000</v>
      </c>
      <c r="Y42" s="23" t="n">
        <f aca="false">Y40+Y41</f>
        <v>-9258750</v>
      </c>
      <c r="Z42" s="23" t="n">
        <f aca="false">Z40+Z41</f>
        <v>-9157500</v>
      </c>
      <c r="AA42" s="23" t="n">
        <f aca="false">AA40+AA41</f>
        <v>-9056250</v>
      </c>
      <c r="AB42" s="23" t="n">
        <f aca="false">AB40+AB41</f>
        <v>-8955000</v>
      </c>
      <c r="AC42" s="23" t="n">
        <f aca="false">AC40+AC41</f>
        <v>-8853750</v>
      </c>
      <c r="AD42" s="23" t="n">
        <f aca="false">AD40+AD41</f>
        <v>-8752500</v>
      </c>
      <c r="AE42" s="23" t="n">
        <f aca="false">AE40+AE41</f>
        <v>-8651250</v>
      </c>
      <c r="AF42" s="23" t="n">
        <f aca="false">AF40+AF41</f>
        <v>-8550000</v>
      </c>
      <c r="AG42" s="23" t="n">
        <f aca="false">AG40+AG41</f>
        <v>-8448750</v>
      </c>
      <c r="AH42" s="23" t="n">
        <f aca="false">AH40+AH41</f>
        <v>-8347500</v>
      </c>
      <c r="AI42" s="23" t="n">
        <f aca="false">AI40+AI41</f>
        <v>-8246250</v>
      </c>
      <c r="AJ42" s="23" t="n">
        <f aca="false">AJ40+AJ41</f>
        <v>-8145000</v>
      </c>
      <c r="AK42" s="23" t="n">
        <f aca="false">AK40+AK41</f>
        <v>-8043750</v>
      </c>
      <c r="AL42" s="23" t="n">
        <f aca="false">AL40+AL41</f>
        <v>-7942500</v>
      </c>
      <c r="AM42" s="23" t="n">
        <f aca="false">AM40+AM41</f>
        <v>-7841250</v>
      </c>
      <c r="AN42" s="23" t="n">
        <f aca="false">AN40+AN41</f>
        <v>-7740000</v>
      </c>
      <c r="AO42" s="23" t="n">
        <f aca="false">AO40+AO41</f>
        <v>-7638750</v>
      </c>
      <c r="AP42" s="23" t="n">
        <f aca="false">AP40+AP41</f>
        <v>-7537500</v>
      </c>
      <c r="AQ42" s="23" t="n">
        <f aca="false">AQ40+AQ41</f>
        <v>-7436250</v>
      </c>
      <c r="AR42" s="23" t="n">
        <f aca="false">AR40+AR41</f>
        <v>-7335000</v>
      </c>
      <c r="AS42" s="23" t="n">
        <f aca="false">AS40+AS41</f>
        <v>-7233750</v>
      </c>
      <c r="AT42" s="23" t="n">
        <f aca="false">AT40+AT41</f>
        <v>-7132500</v>
      </c>
      <c r="AU42" s="23" t="n">
        <f aca="false">AU40+AU41</f>
        <v>-7031250</v>
      </c>
      <c r="AV42" s="23" t="n">
        <f aca="false">AV40+AV41</f>
        <v>-6930000</v>
      </c>
      <c r="AW42" s="23" t="n">
        <f aca="false">AW40+AW41</f>
        <v>-6828750</v>
      </c>
      <c r="AX42" s="23" t="n">
        <f aca="false">AX40+AX41</f>
        <v>-6727500</v>
      </c>
      <c r="AY42" s="23" t="n">
        <f aca="false">AY40+AY41</f>
        <v>-6626250</v>
      </c>
      <c r="AZ42" s="23" t="n">
        <f aca="false">AZ40+AZ41</f>
        <v>-6525000</v>
      </c>
      <c r="BA42" s="23" t="n">
        <f aca="false">BA40+BA41</f>
        <v>-6423750</v>
      </c>
      <c r="BB42" s="23" t="n">
        <f aca="false">BB40+BB41</f>
        <v>-6322500</v>
      </c>
      <c r="BC42" s="23" t="n">
        <f aca="false">BC40+BC41</f>
        <v>-6221250</v>
      </c>
      <c r="BD42" s="23" t="n">
        <f aca="false">BD40+BD41</f>
        <v>-6120000</v>
      </c>
      <c r="BE42" s="23" t="n">
        <f aca="false">BE40+BE41</f>
        <v>-6018750</v>
      </c>
      <c r="BF42" s="23" t="n">
        <f aca="false">BF40+BF41</f>
        <v>-5917500</v>
      </c>
      <c r="BG42" s="23" t="n">
        <f aca="false">BG40+BG41</f>
        <v>-5816250</v>
      </c>
      <c r="BH42" s="23" t="n">
        <f aca="false">BH40+BH41</f>
        <v>-5715000</v>
      </c>
      <c r="BI42" s="23" t="n">
        <f aca="false">BI40+BI41</f>
        <v>-5613750</v>
      </c>
      <c r="BJ42" s="23" t="n">
        <f aca="false">BJ40+BJ41</f>
        <v>-5512500</v>
      </c>
      <c r="BK42" s="23" t="n">
        <f aca="false">BK40+BK41</f>
        <v>-5411250</v>
      </c>
      <c r="BL42" s="23" t="n">
        <f aca="false">BL40+BL41</f>
        <v>-5310000</v>
      </c>
      <c r="BM42" s="23" t="n">
        <f aca="false">BM40+BM41</f>
        <v>-5208750</v>
      </c>
      <c r="BN42" s="23" t="n">
        <f aca="false">BN40+BN41</f>
        <v>-5107500</v>
      </c>
      <c r="BO42" s="23" t="n">
        <f aca="false">BO40+BO41</f>
        <v>-5006250</v>
      </c>
      <c r="BP42" s="23" t="n">
        <f aca="false">BP40+BP41</f>
        <v>-4905000</v>
      </c>
      <c r="BQ42" s="23" t="n">
        <f aca="false">BQ40+BQ41</f>
        <v>-4803750</v>
      </c>
      <c r="BR42" s="23" t="n">
        <f aca="false">BR40+BR41</f>
        <v>-4702500</v>
      </c>
      <c r="BS42" s="23" t="n">
        <f aca="false">BS40+BS41</f>
        <v>-4601250</v>
      </c>
      <c r="BT42" s="23" t="n">
        <f aca="false">BT40+BT41</f>
        <v>0</v>
      </c>
      <c r="BU42" s="23" t="n">
        <f aca="false">BU40+BU41</f>
        <v>0</v>
      </c>
      <c r="BV42" s="23" t="n">
        <f aca="false">BV40+BV41</f>
        <v>0</v>
      </c>
      <c r="BW42" s="23" t="n">
        <f aca="false">BW40+BW41</f>
        <v>0</v>
      </c>
      <c r="BX42" s="23" t="n">
        <f aca="false">BX40+BX41</f>
        <v>0</v>
      </c>
      <c r="BY42" s="23" t="n">
        <f aca="false">BY40+BY41</f>
        <v>0</v>
      </c>
      <c r="BZ42" s="23" t="n">
        <f aca="false">BZ40+BZ41</f>
        <v>0</v>
      </c>
      <c r="CA42" s="23" t="n">
        <f aca="false">CA40+CA41</f>
        <v>0</v>
      </c>
      <c r="CB42" s="23" t="n">
        <f aca="false">CB40+CB41</f>
        <v>0</v>
      </c>
      <c r="CC42" s="23" t="n">
        <f aca="false">CC40+CC41</f>
        <v>0</v>
      </c>
      <c r="CD42" s="23" t="n">
        <f aca="false">CD40+CD41</f>
        <v>0</v>
      </c>
      <c r="CE42" s="23" t="n">
        <f aca="false">CE40+CE41</f>
        <v>0</v>
      </c>
      <c r="CF42" s="23" t="n">
        <f aca="false">CF40+CF41</f>
        <v>0</v>
      </c>
      <c r="CG42" s="23" t="n">
        <f aca="false">CG40+CG41</f>
        <v>0</v>
      </c>
      <c r="CH42" s="23" t="n">
        <f aca="false">CH40+CH41</f>
        <v>0</v>
      </c>
      <c r="CI42" s="23" t="n">
        <f aca="false">CI40+CI41</f>
        <v>0</v>
      </c>
      <c r="CJ42" s="23" t="n">
        <f aca="false">CJ40+CJ41</f>
        <v>0</v>
      </c>
      <c r="CK42" s="23" t="n">
        <f aca="false">CK40+CK41</f>
        <v>0</v>
      </c>
      <c r="CL42" s="23" t="n">
        <f aca="false">CL40+CL41</f>
        <v>0</v>
      </c>
      <c r="CM42" s="23" t="n">
        <f aca="false">CM40+CM41</f>
        <v>0</v>
      </c>
      <c r="CN42" s="23" t="n">
        <f aca="false">CN40+CN41</f>
        <v>0</v>
      </c>
      <c r="CO42" s="23" t="n">
        <f aca="false">CO40+CO41</f>
        <v>0</v>
      </c>
      <c r="CP42" s="23" t="n">
        <f aca="false">CP40+CP41</f>
        <v>0</v>
      </c>
      <c r="CQ42" s="23" t="n">
        <f aca="false">CQ40+CQ41</f>
        <v>0</v>
      </c>
      <c r="CR42" s="23" t="n">
        <f aca="false">CR40+CR41</f>
        <v>0</v>
      </c>
      <c r="CS42" s="23" t="n">
        <f aca="false">CS40+CS41</f>
        <v>0</v>
      </c>
      <c r="CT42" s="23" t="n">
        <f aca="false">CT40+CT41</f>
        <v>0</v>
      </c>
      <c r="CU42" s="23" t="n">
        <f aca="false">CU40+CU41</f>
        <v>0</v>
      </c>
      <c r="CV42" s="23" t="n">
        <f aca="false">CV40+CV41</f>
        <v>0</v>
      </c>
      <c r="CW42" s="23" t="n">
        <f aca="false">CW40+CW41</f>
        <v>0</v>
      </c>
      <c r="CX42" s="23" t="n">
        <f aca="false">CX40+CX41</f>
        <v>0</v>
      </c>
      <c r="CY42" s="23" t="n">
        <f aca="false">CY40+CY41</f>
        <v>0</v>
      </c>
      <c r="CZ42" s="23" t="n">
        <f aca="false">CZ40+CZ41</f>
        <v>0</v>
      </c>
      <c r="DA42" s="23" t="n">
        <f aca="false">DA40+DA41</f>
        <v>0</v>
      </c>
      <c r="DB42" s="23" t="n">
        <f aca="false">DB40+DB41</f>
        <v>0</v>
      </c>
      <c r="DC42" s="23" t="n">
        <f aca="false">DC40+DC41</f>
        <v>0</v>
      </c>
      <c r="DD42" s="23" t="n">
        <f aca="false">DD40+DD41</f>
        <v>0</v>
      </c>
      <c r="DE42" s="23" t="n">
        <f aca="false">DE40+DE41</f>
        <v>0</v>
      </c>
      <c r="DF42" s="23" t="n">
        <f aca="false">DF40+DF41</f>
        <v>0</v>
      </c>
      <c r="DG42" s="23" t="n">
        <f aca="false">DG40+DG41</f>
        <v>0</v>
      </c>
      <c r="DH42" s="23" t="n">
        <f aca="false">DH40+DH41</f>
        <v>0</v>
      </c>
      <c r="DI42" s="23" t="n">
        <f aca="false">DI40+DI41</f>
        <v>0</v>
      </c>
      <c r="DJ42" s="23" t="n">
        <f aca="false">DJ40+DJ41</f>
        <v>0</v>
      </c>
      <c r="DK42" s="23" t="n">
        <f aca="false">DK40+DK41</f>
        <v>0</v>
      </c>
      <c r="DL42" s="23" t="n">
        <f aca="false">DL40+DL41</f>
        <v>0</v>
      </c>
      <c r="DM42" s="23" t="n">
        <f aca="false">DM40+DM41</f>
        <v>0</v>
      </c>
      <c r="DN42" s="23" t="n">
        <f aca="false">DN40+DN41</f>
        <v>0</v>
      </c>
      <c r="DO42" s="23" t="n">
        <f aca="false">DO40+DO41</f>
        <v>0</v>
      </c>
      <c r="DP42" s="23" t="n">
        <f aca="false">DP40+DP41</f>
        <v>0</v>
      </c>
      <c r="DQ42" s="23" t="n">
        <f aca="false">DQ40+DQ41</f>
        <v>0</v>
      </c>
      <c r="DR42" s="23" t="n">
        <f aca="false">DR40+DR41</f>
        <v>0</v>
      </c>
      <c r="DS42" s="23" t="n">
        <f aca="false">DS40+DS41</f>
        <v>0</v>
      </c>
      <c r="DT42" s="23" t="n">
        <f aca="false">DT40+DT41</f>
        <v>0</v>
      </c>
      <c r="DU42" s="23" t="n">
        <f aca="false">DU40+DU41</f>
        <v>0</v>
      </c>
      <c r="DV42" s="23" t="n">
        <f aca="false">DV40+DV41</f>
        <v>0</v>
      </c>
      <c r="DW42" s="23" t="n">
        <f aca="false">DW40+DW41</f>
        <v>0</v>
      </c>
      <c r="DX42" s="23" t="n">
        <f aca="false">DX40+DX41</f>
        <v>0</v>
      </c>
      <c r="DY42" s="23" t="n">
        <f aca="false">DY40+DY41</f>
        <v>0</v>
      </c>
      <c r="DZ42" s="23" t="n">
        <f aca="false">DZ40+DZ41</f>
        <v>0</v>
      </c>
      <c r="EA42" s="23" t="n">
        <f aca="false">EA40+EA41</f>
        <v>0</v>
      </c>
      <c r="EB42" s="23" t="n">
        <f aca="false">EB40+EB41</f>
        <v>0</v>
      </c>
      <c r="EC42" s="23" t="n">
        <f aca="false">EC40+EC41</f>
        <v>0</v>
      </c>
      <c r="ED42" s="23" t="n">
        <f aca="false">ED40+ED41</f>
        <v>0</v>
      </c>
      <c r="EE42" s="23" t="n">
        <f aca="false">EE40+EE41</f>
        <v>0</v>
      </c>
      <c r="EF42" s="23" t="n">
        <f aca="false">EF40+EF41</f>
        <v>0</v>
      </c>
      <c r="EG42" s="23" t="n">
        <f aca="false">EG40+EG41</f>
        <v>0</v>
      </c>
      <c r="EH42" s="23" t="n">
        <f aca="false">EH40+EH41</f>
        <v>0</v>
      </c>
      <c r="EI42" s="23" t="n">
        <f aca="false">EI40+EI41</f>
        <v>0</v>
      </c>
      <c r="EJ42" s="23" t="n">
        <f aca="false">EJ40+EJ41</f>
        <v>0</v>
      </c>
      <c r="EK42" s="23" t="n">
        <f aca="false">EK40+EK41</f>
        <v>0</v>
      </c>
      <c r="EL42" s="23" t="n">
        <f aca="false">EL40+EL41</f>
        <v>0</v>
      </c>
      <c r="EM42" s="23" t="n">
        <f aca="false">EM40+EM41</f>
        <v>0</v>
      </c>
      <c r="EN42" s="23" t="n">
        <f aca="false">EN40+EN41</f>
        <v>0</v>
      </c>
      <c r="EO42" s="23" t="n">
        <f aca="false">EO40+EO41</f>
        <v>0</v>
      </c>
      <c r="EP42" s="23" t="n">
        <f aca="false">EP40+EP41</f>
        <v>0</v>
      </c>
      <c r="EQ42" s="23" t="n">
        <f aca="false">EQ40+EQ41</f>
        <v>0</v>
      </c>
      <c r="ER42" s="23" t="n">
        <f aca="false">ER40+ER41</f>
        <v>0</v>
      </c>
      <c r="ES42" s="23" t="n">
        <f aca="false">ES40+ES41</f>
        <v>0</v>
      </c>
      <c r="ET42" s="23" t="n">
        <f aca="false">ET40+ET41</f>
        <v>0</v>
      </c>
      <c r="EU42" s="23" t="n">
        <f aca="false">EU40+EU41</f>
        <v>0</v>
      </c>
      <c r="EV42" s="23" t="n">
        <f aca="false">EV40+EV41</f>
        <v>0</v>
      </c>
      <c r="EW42" s="23" t="n">
        <f aca="false">EW40+EW41</f>
        <v>0</v>
      </c>
      <c r="EX42" s="23" t="n">
        <f aca="false">EX40+EX41</f>
        <v>0</v>
      </c>
      <c r="EY42" s="23" t="n">
        <f aca="false">EY40+EY41</f>
        <v>0</v>
      </c>
      <c r="EZ42" s="23" t="n">
        <f aca="false">EZ40+EZ41</f>
        <v>0</v>
      </c>
      <c r="FA42" s="23" t="n">
        <f aca="false">FA40+FA41</f>
        <v>0</v>
      </c>
      <c r="FB42" s="23" t="n">
        <f aca="false">FB40+FB41</f>
        <v>0</v>
      </c>
      <c r="FC42" s="23" t="n">
        <f aca="false">FC40+FC41</f>
        <v>0</v>
      </c>
      <c r="FD42" s="23" t="n">
        <f aca="false">FD40+FD41</f>
        <v>0</v>
      </c>
      <c r="FE42" s="23" t="n">
        <f aca="false">FE40+FE41</f>
        <v>0</v>
      </c>
      <c r="FF42" s="23" t="n">
        <f aca="false">FF40+FF41</f>
        <v>0</v>
      </c>
      <c r="FG42" s="23" t="n">
        <f aca="false">FG40+FG41</f>
        <v>0</v>
      </c>
      <c r="FH42" s="23" t="n">
        <f aca="false">FH40+FH41</f>
        <v>0</v>
      </c>
      <c r="FI42" s="23" t="n">
        <f aca="false">FI40+FI41</f>
        <v>0</v>
      </c>
      <c r="FJ42" s="23" t="n">
        <f aca="false">FJ40+FJ41</f>
        <v>0</v>
      </c>
      <c r="FK42" s="23" t="n">
        <f aca="false">FK40+FK41</f>
        <v>0</v>
      </c>
    </row>
    <row r="43" customFormat="false" ht="15" hidden="false" customHeight="true" outlineLevel="0" collapsed="false">
      <c r="D43" s="21" t="s">
        <v>89</v>
      </c>
      <c r="E43" s="7" t="s">
        <v>90</v>
      </c>
      <c r="H43" s="24" t="str">
        <f aca="false">IF(OR(H17=FALSE(),H42=0),"",H39/-H42)</f>
        <v/>
      </c>
      <c r="I43" s="24" t="str">
        <f aca="false">IF(OR(I17=FALSE(),I42=0),"",I39/-I42)</f>
        <v/>
      </c>
      <c r="J43" s="24" t="str">
        <f aca="false">IF(OR(J17=FALSE(),J42=0),"",J39/-J42)</f>
        <v/>
      </c>
      <c r="K43" s="24" t="str">
        <f aca="false">IF(OR(K17=FALSE(),K42=0),"",K39/-K42)</f>
        <v/>
      </c>
      <c r="L43" s="24" t="n">
        <f aca="false">IF(OR(L17=FALSE(),L42=0),"",L39/-L42)</f>
        <v>0.929314420803783</v>
      </c>
      <c r="M43" s="24" t="n">
        <f aca="false">IF(OR(M17=FALSE(),M42=0),"",M39/-M42)</f>
        <v>0.938298126268051</v>
      </c>
      <c r="N43" s="24" t="n">
        <f aca="false">IF(OR(N17=FALSE(),N42=0),"",N39/-N42)</f>
        <v>0.947457218606893</v>
      </c>
      <c r="O43" s="24" t="n">
        <f aca="false">IF(OR(O17=FALSE(),O42=0),"",O39/-O42)</f>
        <v>0.956796884507728</v>
      </c>
      <c r="P43" s="24" t="n">
        <f aca="false">IF(OR(P17=FALSE(),P42=0),"",P39/-P42)</f>
        <v>0.966322517207473</v>
      </c>
      <c r="Q43" s="24" t="n">
        <f aca="false">IF(OR(Q17=FALSE(),Q42=0),"",Q39/-Q42)</f>
        <v>0.976039726877716</v>
      </c>
      <c r="R43" s="24" t="n">
        <f aca="false">IF(OR(R17=FALSE(),R42=0),"",R39/-R42)</f>
        <v>0.985954351642839</v>
      </c>
      <c r="S43" s="24" t="n">
        <f aca="false">IF(OR(S17=FALSE(),S42=0),"",S39/-S42)</f>
        <v>0.996072469276574</v>
      </c>
      <c r="T43" s="24" t="n">
        <f aca="false">IF(OR(T17=FALSE(),T42=0),"",T39/-T42)</f>
        <v>1.00640040962622</v>
      </c>
      <c r="U43" s="24" t="n">
        <f aca="false">IF(OR(U17=FALSE(),U42=0),"",U39/-U42)</f>
        <v>1.01694476781788</v>
      </c>
      <c r="V43" s="24" t="n">
        <f aca="false">IF(OR(V17=FALSE(),V42=0),"",V39/-V42)</f>
        <v>1.02771241830065</v>
      </c>
      <c r="W43" s="24" t="n">
        <f aca="false">IF(OR(W17=FALSE(),W42=0),"",W39/-W42)</f>
        <v>1.03871052979258</v>
      </c>
      <c r="X43" s="24" t="n">
        <f aca="false">IF(OR(X17=FALSE(),X42=0),"",X39/-X42)</f>
        <v>1.04994658119658</v>
      </c>
      <c r="Y43" s="24" t="n">
        <f aca="false">IF(OR(Y17=FALSE(),Y42=0),"",Y39/-Y42)</f>
        <v>1.06142837856082</v>
      </c>
      <c r="Z43" s="24" t="n">
        <f aca="false">IF(OR(Z17=FALSE(),Z42=0),"",Z39/-Z42)</f>
        <v>1.07316407316407</v>
      </c>
      <c r="AA43" s="24" t="n">
        <f aca="false">IF(OR(AA17=FALSE(),AA42=0),"",AA39/-AA42)</f>
        <v>1.08516218081435</v>
      </c>
      <c r="AB43" s="24" t="n">
        <f aca="false">IF(OR(AB17=FALSE(),AB42=0),"",AB39/-AB42)</f>
        <v>1.09743160245673</v>
      </c>
      <c r="AC43" s="24" t="n">
        <f aca="false">IF(OR(AC17=FALSE(),AC42=0),"",AC39/-AC42)</f>
        <v>1.10998164619512</v>
      </c>
      <c r="AD43" s="24" t="n">
        <f aca="false">IF(OR(AD17=FALSE(),AD42=0),"",AD39/-AD42)</f>
        <v>1.12282205084262</v>
      </c>
      <c r="AE43" s="24" t="n">
        <f aca="false">IF(OR(AE17=FALSE(),AE42=0),"",AE39/-AE42)</f>
        <v>1.13596301112556</v>
      </c>
      <c r="AF43" s="24" t="n">
        <f aca="false">IF(OR(AF17=FALSE(),AF42=0),"",AF39/-AF42)</f>
        <v>1.14941520467836</v>
      </c>
      <c r="AG43" s="24" t="n">
        <f aca="false">IF(OR(AG17=FALSE(),AG42=0),"",AG39/-AG42)</f>
        <v>1.16318982097944</v>
      </c>
      <c r="AH43" s="24" t="n">
        <f aca="false">IF(OR(AH17=FALSE(),AH42=0),"",AH39/-AH42)</f>
        <v>1.17729859239293</v>
      </c>
      <c r="AI43" s="24" t="n">
        <f aca="false">IF(OR(AI17=FALSE(),AI42=0),"",AI39/-AI42)</f>
        <v>1.16469607397302</v>
      </c>
      <c r="AJ43" s="24" t="n">
        <f aca="false">IF(OR(AJ17=FALSE(),AJ42=0),"",AJ39/-AJ42)</f>
        <v>1.15492633517495</v>
      </c>
      <c r="AK43" s="24" t="n">
        <f aca="false">IF(OR(AK17=FALSE(),AK42=0),"",AK39/-AK42)</f>
        <v>1.16631701631702</v>
      </c>
      <c r="AL43" s="24" t="n">
        <f aca="false">IF(OR(AL17=FALSE(),AL42=0),"",AL39/-AL42)</f>
        <v>1.17799811142587</v>
      </c>
      <c r="AM43" s="24" t="n">
        <f aca="false">IF(OR(AM17=FALSE(),AM42=0),"",AM39/-AM42)</f>
        <v>1.18998087039694</v>
      </c>
      <c r="AN43" s="24" t="n">
        <f aca="false">IF(OR(AN17=FALSE(),AN42=0),"",AN39/-AN42)</f>
        <v>1.20227713178295</v>
      </c>
      <c r="AO43" s="24" t="n">
        <f aca="false">IF(OR(AO17=FALSE(),AO42=0),"",AO39/-AO42)</f>
        <v>1.21489936180658</v>
      </c>
      <c r="AP43" s="24" t="n">
        <f aca="false">IF(OR(AP17=FALSE(),AP42=0),"",AP39/-AP42)</f>
        <v>1.22786069651741</v>
      </c>
      <c r="AQ43" s="24" t="n">
        <f aca="false">IF(OR(AQ17=FALSE(),AQ42=0),"",AQ39/-AQ42)</f>
        <v>1.24117498739284</v>
      </c>
      <c r="AR43" s="24" t="n">
        <f aca="false">IF(OR(AR17=FALSE(),AR42=0),"",AR39/-AR42)</f>
        <v>1.25485685071575</v>
      </c>
      <c r="AS43" s="24" t="n">
        <f aca="false">IF(OR(AS17=FALSE(),AS42=0),"",AS39/-AS42)</f>
        <v>1.26892172109902</v>
      </c>
      <c r="AT43" s="24" t="n">
        <f aca="false">IF(OR(AT17=FALSE(),AT42=0),"",AT39/-AT42)</f>
        <v>1.28338590956887</v>
      </c>
      <c r="AU43" s="24" t="n">
        <f aca="false">IF(OR(AU17=FALSE(),AU42=0),"",AU39/-AU42)</f>
        <v>1.29826666666667</v>
      </c>
      <c r="AV43" s="24" t="n">
        <f aca="false">IF(OR(AV17=FALSE(),AV42=0),"",AV39/-AV42)</f>
        <v>1.31358225108225</v>
      </c>
      <c r="AW43" s="24" t="n">
        <f aca="false">IF(OR(AW17=FALSE(),AW42=0),"",AW39/-AW42)</f>
        <v>1.32935200439319</v>
      </c>
      <c r="AX43" s="24" t="n">
        <f aca="false">IF(OR(AX17=FALSE(),AX42=0),"",AX39/-AX42)</f>
        <v>1.34559643255295</v>
      </c>
      <c r="AY43" s="24" t="n">
        <f aca="false">IF(OR(AY17=FALSE(),AY42=0),"",AY39/-AY42)</f>
        <v>1.36233729485003</v>
      </c>
      <c r="AZ43" s="24" t="n">
        <f aca="false">IF(OR(AZ17=FALSE(),AZ42=0),"",AZ39/-AZ42)</f>
        <v>1.37959770114943</v>
      </c>
      <c r="BA43" s="24" t="n">
        <f aca="false">IF(OR(BA17=FALSE(),BA42=0),"",BA39/-BA42)</f>
        <v>1.39740221833041</v>
      </c>
      <c r="BB43" s="24" t="n">
        <f aca="false">IF(OR(BB17=FALSE(),BB42=0),"",BB39/-BB42)</f>
        <v>1.41577698695136</v>
      </c>
      <c r="BC43" s="24" t="n">
        <f aca="false">IF(OR(BC17=FALSE(),BC42=0),"",BC39/-BC42)</f>
        <v>1.43474984930681</v>
      </c>
      <c r="BD43" s="24" t="n">
        <f aca="false">IF(OR(BD17=FALSE(),BD42=0),"",BD39/-BD42)</f>
        <v>1.45435049019608</v>
      </c>
      <c r="BE43" s="24" t="n">
        <f aca="false">IF(OR(BE17=FALSE(),BE42=0),"",BE39/-BE42)</f>
        <v>1.47461059190031</v>
      </c>
      <c r="BF43" s="24" t="n">
        <f aca="false">IF(OR(BF17=FALSE(),BF42=0),"",BF39/-BF42)</f>
        <v>1.49556400506971</v>
      </c>
      <c r="BG43" s="24" t="n">
        <f aca="false">IF(OR(BG17=FALSE(),BG42=0),"",BG39/-BG42)</f>
        <v>1.5172469374597</v>
      </c>
      <c r="BH43" s="24" t="n">
        <f aca="false">IF(OR(BH17=FALSE(),BH42=0),"",BH39/-BH42)</f>
        <v>1.53969816272966</v>
      </c>
      <c r="BI43" s="24" t="n">
        <f aca="false">IF(OR(BI17=FALSE(),BI42=0),"",BI39/-BI42)</f>
        <v>1.56295925183701</v>
      </c>
      <c r="BJ43" s="24" t="n">
        <f aca="false">IF(OR(BJ17=FALSE(),BJ42=0),"",BJ39/-BJ42)</f>
        <v>1.58707482993197</v>
      </c>
      <c r="BK43" s="24" t="n">
        <f aca="false">IF(OR(BK17=FALSE(),BK42=0),"",BK39/-BK42)</f>
        <v>1.61209286209286</v>
      </c>
      <c r="BL43" s="24" t="n">
        <f aca="false">IF(OR(BL17=FALSE(),BL42=0),"",BL39/-BL42)</f>
        <v>1.63806497175141</v>
      </c>
      <c r="BM43" s="24" t="n">
        <f aca="false">IF(OR(BM17=FALSE(),BM42=0),"",BM39/-BM42)</f>
        <v>1.6650467962563</v>
      </c>
      <c r="BN43" s="24" t="n">
        <f aca="false">IF(OR(BN17=FALSE(),BN42=0),"",BN39/-BN42)</f>
        <v>1.69309838472834</v>
      </c>
      <c r="BO43" s="24" t="n">
        <f aca="false">IF(OR(BO17=FALSE(),BO42=0),"",BO39/-BO42)</f>
        <v>1.72228464419476</v>
      </c>
      <c r="BP43" s="24" t="n">
        <f aca="false">IF(OR(BP17=FALSE(),BP42=0),"",BP39/-BP42)</f>
        <v>1.75267584097859</v>
      </c>
      <c r="BQ43" s="24" t="n">
        <f aca="false">IF(OR(BQ17=FALSE(),BQ42=0),"",BQ39/-BQ42)</f>
        <v>1.78434816549571</v>
      </c>
      <c r="BR43" s="24" t="n">
        <f aca="false">IF(OR(BR17=FALSE(),BR42=0),"",BR39/-BR42)</f>
        <v>1.81738437001595</v>
      </c>
      <c r="BS43" s="24" t="n">
        <f aca="false">IF(OR(BS17=FALSE(),BS42=0),"",BS39/-BS42)</f>
        <v>1.85187449062755</v>
      </c>
      <c r="BT43" s="24" t="str">
        <f aca="false">IF(OR(BT17=FALSE(),BT42=0),"",BT39/-BT42)</f>
        <v/>
      </c>
      <c r="BU43" s="24" t="str">
        <f aca="false">IF(OR(BU17=FALSE(),BU42=0),"",BU39/-BU42)</f>
        <v/>
      </c>
      <c r="BV43" s="24" t="str">
        <f aca="false">IF(OR(BV17=FALSE(),BV42=0),"",BV39/-BV42)</f>
        <v/>
      </c>
      <c r="BW43" s="24" t="str">
        <f aca="false">IF(OR(BW17=FALSE(),BW42=0),"",BW39/-BW42)</f>
        <v/>
      </c>
      <c r="BX43" s="24" t="str">
        <f aca="false">IF(OR(BX17=FALSE(),BX42=0),"",BX39/-BX42)</f>
        <v/>
      </c>
      <c r="BY43" s="24" t="str">
        <f aca="false">IF(OR(BY17=FALSE(),BY42=0),"",BY39/-BY42)</f>
        <v/>
      </c>
      <c r="BZ43" s="24" t="str">
        <f aca="false">IF(OR(BZ17=FALSE(),BZ42=0),"",BZ39/-BZ42)</f>
        <v/>
      </c>
      <c r="CA43" s="24" t="str">
        <f aca="false">IF(OR(CA17=FALSE(),CA42=0),"",CA39/-CA42)</f>
        <v/>
      </c>
      <c r="CB43" s="24" t="str">
        <f aca="false">IF(OR(CB17=FALSE(),CB42=0),"",CB39/-CB42)</f>
        <v/>
      </c>
      <c r="CC43" s="24" t="str">
        <f aca="false">IF(OR(CC17=FALSE(),CC42=0),"",CC39/-CC42)</f>
        <v/>
      </c>
      <c r="CD43" s="24" t="str">
        <f aca="false">IF(OR(CD17=FALSE(),CD42=0),"",CD39/-CD42)</f>
        <v/>
      </c>
      <c r="CE43" s="24" t="str">
        <f aca="false">IF(OR(CE17=FALSE(),CE42=0),"",CE39/-CE42)</f>
        <v/>
      </c>
      <c r="CF43" s="24" t="str">
        <f aca="false">IF(OR(CF17=FALSE(),CF42=0),"",CF39/-CF42)</f>
        <v/>
      </c>
      <c r="CG43" s="24" t="str">
        <f aca="false">IF(OR(CG17=FALSE(),CG42=0),"",CG39/-CG42)</f>
        <v/>
      </c>
      <c r="CH43" s="24" t="str">
        <f aca="false">IF(OR(CH17=FALSE(),CH42=0),"",CH39/-CH42)</f>
        <v/>
      </c>
      <c r="CI43" s="24" t="str">
        <f aca="false">IF(OR(CI17=FALSE(),CI42=0),"",CI39/-CI42)</f>
        <v/>
      </c>
      <c r="CJ43" s="24" t="str">
        <f aca="false">IF(OR(CJ17=FALSE(),CJ42=0),"",CJ39/-CJ42)</f>
        <v/>
      </c>
      <c r="CK43" s="24" t="str">
        <f aca="false">IF(OR(CK17=FALSE(),CK42=0),"",CK39/-CK42)</f>
        <v/>
      </c>
      <c r="CL43" s="24" t="str">
        <f aca="false">IF(OR(CL17=FALSE(),CL42=0),"",CL39/-CL42)</f>
        <v/>
      </c>
      <c r="CM43" s="24" t="str">
        <f aca="false">IF(OR(CM17=FALSE(),CM42=0),"",CM39/-CM42)</f>
        <v/>
      </c>
      <c r="CN43" s="24" t="str">
        <f aca="false">IF(OR(CN17=FALSE(),CN42=0),"",CN39/-CN42)</f>
        <v/>
      </c>
      <c r="CO43" s="24" t="str">
        <f aca="false">IF(OR(CO17=FALSE(),CO42=0),"",CO39/-CO42)</f>
        <v/>
      </c>
      <c r="CP43" s="24" t="str">
        <f aca="false">IF(OR(CP17=FALSE(),CP42=0),"",CP39/-CP42)</f>
        <v/>
      </c>
      <c r="CQ43" s="24" t="str">
        <f aca="false">IF(OR(CQ17=FALSE(),CQ42=0),"",CQ39/-CQ42)</f>
        <v/>
      </c>
      <c r="CR43" s="24" t="str">
        <f aca="false">IF(OR(CR17=FALSE(),CR42=0),"",CR39/-CR42)</f>
        <v/>
      </c>
      <c r="CS43" s="24" t="str">
        <f aca="false">IF(OR(CS17=FALSE(),CS42=0),"",CS39/-CS42)</f>
        <v/>
      </c>
      <c r="CT43" s="24" t="str">
        <f aca="false">IF(OR(CT17=FALSE(),CT42=0),"",CT39/-CT42)</f>
        <v/>
      </c>
      <c r="CU43" s="24" t="str">
        <f aca="false">IF(OR(CU17=FALSE(),CU42=0),"",CU39/-CU42)</f>
        <v/>
      </c>
      <c r="CV43" s="24" t="str">
        <f aca="false">IF(OR(CV17=FALSE(),CV42=0),"",CV39/-CV42)</f>
        <v/>
      </c>
      <c r="CW43" s="24" t="str">
        <f aca="false">IF(OR(CW17=FALSE(),CW42=0),"",CW39/-CW42)</f>
        <v/>
      </c>
      <c r="CX43" s="24" t="str">
        <f aca="false">IF(OR(CX17=FALSE(),CX42=0),"",CX39/-CX42)</f>
        <v/>
      </c>
      <c r="CY43" s="24" t="str">
        <f aca="false">IF(OR(CY17=FALSE(),CY42=0),"",CY39/-CY42)</f>
        <v/>
      </c>
      <c r="CZ43" s="24" t="str">
        <f aca="false">IF(OR(CZ17=FALSE(),CZ42=0),"",CZ39/-CZ42)</f>
        <v/>
      </c>
      <c r="DA43" s="24" t="str">
        <f aca="false">IF(OR(DA17=FALSE(),DA42=0),"",DA39/-DA42)</f>
        <v/>
      </c>
      <c r="DB43" s="24" t="str">
        <f aca="false">IF(OR(DB17=FALSE(),DB42=0),"",DB39/-DB42)</f>
        <v/>
      </c>
      <c r="DC43" s="24" t="str">
        <f aca="false">IF(OR(DC17=FALSE(),DC42=0),"",DC39/-DC42)</f>
        <v/>
      </c>
      <c r="DD43" s="24" t="str">
        <f aca="false">IF(OR(DD17=FALSE(),DD42=0),"",DD39/-DD42)</f>
        <v/>
      </c>
      <c r="DE43" s="24" t="str">
        <f aca="false">IF(OR(DE17=FALSE(),DE42=0),"",DE39/-DE42)</f>
        <v/>
      </c>
      <c r="DF43" s="24" t="str">
        <f aca="false">IF(OR(DF17=FALSE(),DF42=0),"",DF39/-DF42)</f>
        <v/>
      </c>
      <c r="DG43" s="24" t="str">
        <f aca="false">IF(OR(DG17=FALSE(),DG42=0),"",DG39/-DG42)</f>
        <v/>
      </c>
      <c r="DH43" s="24" t="str">
        <f aca="false">IF(OR(DH17=FALSE(),DH42=0),"",DH39/-DH42)</f>
        <v/>
      </c>
      <c r="DI43" s="24" t="str">
        <f aca="false">IF(OR(DI17=FALSE(),DI42=0),"",DI39/-DI42)</f>
        <v/>
      </c>
      <c r="DJ43" s="24" t="str">
        <f aca="false">IF(OR(DJ17=FALSE(),DJ42=0),"",DJ39/-DJ42)</f>
        <v/>
      </c>
      <c r="DK43" s="24" t="str">
        <f aca="false">IF(OR(DK17=FALSE(),DK42=0),"",DK39/-DK42)</f>
        <v/>
      </c>
      <c r="DL43" s="24" t="str">
        <f aca="false">IF(OR(DL17=FALSE(),DL42=0),"",DL39/-DL42)</f>
        <v/>
      </c>
      <c r="DM43" s="24" t="str">
        <f aca="false">IF(OR(DM17=FALSE(),DM42=0),"",DM39/-DM42)</f>
        <v/>
      </c>
      <c r="DN43" s="24" t="str">
        <f aca="false">IF(OR(DN17=FALSE(),DN42=0),"",DN39/-DN42)</f>
        <v/>
      </c>
      <c r="DO43" s="24" t="str">
        <f aca="false">IF(OR(DO17=FALSE(),DO42=0),"",DO39/-DO42)</f>
        <v/>
      </c>
      <c r="DP43" s="24" t="str">
        <f aca="false">IF(OR(DP17=FALSE(),DP42=0),"",DP39/-DP42)</f>
        <v/>
      </c>
      <c r="DQ43" s="24" t="str">
        <f aca="false">IF(OR(DQ17=FALSE(),DQ42=0),"",DQ39/-DQ42)</f>
        <v/>
      </c>
      <c r="DR43" s="24" t="str">
        <f aca="false">IF(OR(DR17=FALSE(),DR42=0),"",DR39/-DR42)</f>
        <v/>
      </c>
      <c r="DS43" s="24" t="str">
        <f aca="false">IF(OR(DS17=FALSE(),DS42=0),"",DS39/-DS42)</f>
        <v/>
      </c>
      <c r="DT43" s="24" t="str">
        <f aca="false">IF(OR(DT17=FALSE(),DT42=0),"",DT39/-DT42)</f>
        <v/>
      </c>
      <c r="DU43" s="24" t="str">
        <f aca="false">IF(OR(DU17=FALSE(),DU42=0),"",DU39/-DU42)</f>
        <v/>
      </c>
      <c r="DV43" s="24" t="str">
        <f aca="false">IF(OR(DV17=FALSE(),DV42=0),"",DV39/-DV42)</f>
        <v/>
      </c>
      <c r="DW43" s="24" t="str">
        <f aca="false">IF(OR(DW17=FALSE(),DW42=0),"",DW39/-DW42)</f>
        <v/>
      </c>
      <c r="DX43" s="24" t="str">
        <f aca="false">IF(OR(DX17=FALSE(),DX42=0),"",DX39/-DX42)</f>
        <v/>
      </c>
      <c r="DY43" s="24" t="str">
        <f aca="false">IF(OR(DY17=FALSE(),DY42=0),"",DY39/-DY42)</f>
        <v/>
      </c>
      <c r="DZ43" s="24" t="str">
        <f aca="false">IF(OR(DZ17=FALSE(),DZ42=0),"",DZ39/-DZ42)</f>
        <v/>
      </c>
      <c r="EA43" s="24" t="str">
        <f aca="false">IF(OR(EA17=FALSE(),EA42=0),"",EA39/-EA42)</f>
        <v/>
      </c>
      <c r="EB43" s="24" t="str">
        <f aca="false">IF(OR(EB17=FALSE(),EB42=0),"",EB39/-EB42)</f>
        <v/>
      </c>
      <c r="EC43" s="24" t="str">
        <f aca="false">IF(OR(EC17=FALSE(),EC42=0),"",EC39/-EC42)</f>
        <v/>
      </c>
      <c r="ED43" s="24" t="str">
        <f aca="false">IF(OR(ED17=FALSE(),ED42=0),"",ED39/-ED42)</f>
        <v/>
      </c>
      <c r="EE43" s="24" t="str">
        <f aca="false">IF(OR(EE17=FALSE(),EE42=0),"",EE39/-EE42)</f>
        <v/>
      </c>
      <c r="EF43" s="24" t="str">
        <f aca="false">IF(OR(EF17=FALSE(),EF42=0),"",EF39/-EF42)</f>
        <v/>
      </c>
      <c r="EG43" s="24" t="str">
        <f aca="false">IF(OR(EG17=FALSE(),EG42=0),"",EG39/-EG42)</f>
        <v/>
      </c>
      <c r="EH43" s="24" t="str">
        <f aca="false">IF(OR(EH17=FALSE(),EH42=0),"",EH39/-EH42)</f>
        <v/>
      </c>
      <c r="EI43" s="24" t="str">
        <f aca="false">IF(OR(EI17=FALSE(),EI42=0),"",EI39/-EI42)</f>
        <v/>
      </c>
      <c r="EJ43" s="24" t="str">
        <f aca="false">IF(OR(EJ17=FALSE(),EJ42=0),"",EJ39/-EJ42)</f>
        <v/>
      </c>
      <c r="EK43" s="24" t="str">
        <f aca="false">IF(OR(EK17=FALSE(),EK42=0),"",EK39/-EK42)</f>
        <v/>
      </c>
      <c r="EL43" s="24" t="str">
        <f aca="false">IF(OR(EL17=FALSE(),EL42=0),"",EL39/-EL42)</f>
        <v/>
      </c>
      <c r="EM43" s="24" t="str">
        <f aca="false">IF(OR(EM17=FALSE(),EM42=0),"",EM39/-EM42)</f>
        <v/>
      </c>
      <c r="EN43" s="24" t="str">
        <f aca="false">IF(OR(EN17=FALSE(),EN42=0),"",EN39/-EN42)</f>
        <v/>
      </c>
      <c r="EO43" s="24" t="str">
        <f aca="false">IF(OR(EO17=FALSE(),EO42=0),"",EO39/-EO42)</f>
        <v/>
      </c>
      <c r="EP43" s="24" t="str">
        <f aca="false">IF(OR(EP17=FALSE(),EP42=0),"",EP39/-EP42)</f>
        <v/>
      </c>
      <c r="EQ43" s="24" t="str">
        <f aca="false">IF(OR(EQ17=FALSE(),EQ42=0),"",EQ39/-EQ42)</f>
        <v/>
      </c>
      <c r="ER43" s="24" t="str">
        <f aca="false">IF(OR(ER17=FALSE(),ER42=0),"",ER39/-ER42)</f>
        <v/>
      </c>
      <c r="ES43" s="24" t="str">
        <f aca="false">IF(OR(ES17=FALSE(),ES42=0),"",ES39/-ES42)</f>
        <v/>
      </c>
      <c r="ET43" s="24" t="str">
        <f aca="false">IF(OR(ET17=FALSE(),ET42=0),"",ET39/-ET42)</f>
        <v/>
      </c>
      <c r="EU43" s="24" t="str">
        <f aca="false">IF(OR(EU17=FALSE(),EU42=0),"",EU39/-EU42)</f>
        <v/>
      </c>
      <c r="EV43" s="24" t="str">
        <f aca="false">IF(OR(EV17=FALSE(),EV42=0),"",EV39/-EV42)</f>
        <v/>
      </c>
      <c r="EW43" s="24" t="str">
        <f aca="false">IF(OR(EW17=FALSE(),EW42=0),"",EW39/-EW42)</f>
        <v/>
      </c>
      <c r="EX43" s="24" t="str">
        <f aca="false">IF(OR(EX17=FALSE(),EX42=0),"",EX39/-EX42)</f>
        <v/>
      </c>
      <c r="EY43" s="24" t="str">
        <f aca="false">IF(OR(EY17=FALSE(),EY42=0),"",EY39/-EY42)</f>
        <v/>
      </c>
      <c r="EZ43" s="24" t="str">
        <f aca="false">IF(OR(EZ17=FALSE(),EZ42=0),"",EZ39/-EZ42)</f>
        <v/>
      </c>
      <c r="FA43" s="24" t="str">
        <f aca="false">IF(OR(FA17=FALSE(),FA42=0),"",FA39/-FA42)</f>
        <v/>
      </c>
      <c r="FB43" s="24" t="str">
        <f aca="false">IF(OR(FB17=FALSE(),FB42=0),"",FB39/-FB42)</f>
        <v/>
      </c>
      <c r="FC43" s="24" t="str">
        <f aca="false">IF(OR(FC17=FALSE(),FC42=0),"",FC39/-FC42)</f>
        <v/>
      </c>
      <c r="FD43" s="24" t="str">
        <f aca="false">IF(OR(FD17=FALSE(),FD42=0),"",FD39/-FD42)</f>
        <v/>
      </c>
      <c r="FE43" s="24" t="str">
        <f aca="false">IF(OR(FE17=FALSE(),FE42=0),"",FE39/-FE42)</f>
        <v/>
      </c>
      <c r="FF43" s="24" t="str">
        <f aca="false">IF(OR(FF17=FALSE(),FF42=0),"",FF39/-FF42)</f>
        <v/>
      </c>
      <c r="FG43" s="24" t="str">
        <f aca="false">IF(OR(FG17=FALSE(),FG42=0),"",FG39/-FG42)</f>
        <v/>
      </c>
      <c r="FH43" s="24" t="str">
        <f aca="false">IF(OR(FH17=FALSE(),FH42=0),"",FH39/-FH42)</f>
        <v/>
      </c>
      <c r="FI43" s="24" t="str">
        <f aca="false">IF(OR(FI17=FALSE(),FI42=0),"",FI39/-FI42)</f>
        <v/>
      </c>
      <c r="FJ43" s="24" t="str">
        <f aca="false">IF(OR(FJ17=FALSE(),FJ42=0),"",FJ39/-FJ42)</f>
        <v/>
      </c>
      <c r="FK43" s="24" t="str">
        <f aca="false">IF(OR(FK17=FALSE(),FK42=0),"",FK39/-FK42)</f>
        <v/>
      </c>
    </row>
    <row r="44" customFormat="false" ht="15" hidden="false" customHeight="true" outlineLevel="0" collapsed="false">
      <c r="D44" s="21" t="s">
        <v>91</v>
      </c>
      <c r="E44" s="7" t="s">
        <v>28</v>
      </c>
      <c r="F44" s="22" t="n">
        <f aca="false">SUM(H44:FK44)</f>
        <v>581175000</v>
      </c>
      <c r="H44" s="23" t="n">
        <f aca="false">H39+H42</f>
        <v>0</v>
      </c>
      <c r="I44" s="23" t="n">
        <f aca="false">I39+I42</f>
        <v>-1518750</v>
      </c>
      <c r="J44" s="23" t="n">
        <f aca="false">J39+J42</f>
        <v>-3037500</v>
      </c>
      <c r="K44" s="23" t="n">
        <f aca="false">K39+K42</f>
        <v>-4556250</v>
      </c>
      <c r="L44" s="23" t="n">
        <f aca="false">L39+L42</f>
        <v>-747500</v>
      </c>
      <c r="M44" s="23" t="n">
        <f aca="false">M39+M42</f>
        <v>-646250</v>
      </c>
      <c r="N44" s="23" t="n">
        <f aca="false">N39+N42</f>
        <v>-545000</v>
      </c>
      <c r="O44" s="23" t="n">
        <f aca="false">O39+O42</f>
        <v>-443750</v>
      </c>
      <c r="P44" s="23" t="n">
        <f aca="false">P39+P42</f>
        <v>-342500</v>
      </c>
      <c r="Q44" s="23" t="n">
        <f aca="false">Q39+Q42</f>
        <v>-241250</v>
      </c>
      <c r="R44" s="23" t="n">
        <f aca="false">R39+R42</f>
        <v>-140000</v>
      </c>
      <c r="S44" s="23" t="n">
        <f aca="false">S39+S42</f>
        <v>-38750</v>
      </c>
      <c r="T44" s="23" t="n">
        <f aca="false">T39+T42</f>
        <v>62500</v>
      </c>
      <c r="U44" s="23" t="n">
        <f aca="false">U39+U42</f>
        <v>163750</v>
      </c>
      <c r="V44" s="23" t="n">
        <f aca="false">V39+V42</f>
        <v>265000</v>
      </c>
      <c r="W44" s="23" t="n">
        <f aca="false">W39+W42</f>
        <v>366250</v>
      </c>
      <c r="X44" s="23" t="n">
        <f aca="false">X39+X42</f>
        <v>467500</v>
      </c>
      <c r="Y44" s="23" t="n">
        <f aca="false">Y39+Y42</f>
        <v>568750</v>
      </c>
      <c r="Z44" s="23" t="n">
        <f aca="false">Z39+Z42</f>
        <v>670000</v>
      </c>
      <c r="AA44" s="23" t="n">
        <f aca="false">AA39+AA42</f>
        <v>771250</v>
      </c>
      <c r="AB44" s="23" t="n">
        <f aca="false">AB39+AB42</f>
        <v>872500</v>
      </c>
      <c r="AC44" s="23" t="n">
        <f aca="false">AC39+AC42</f>
        <v>973750</v>
      </c>
      <c r="AD44" s="23" t="n">
        <f aca="false">AD39+AD42</f>
        <v>1075000</v>
      </c>
      <c r="AE44" s="23" t="n">
        <f aca="false">AE39+AE42</f>
        <v>1176250</v>
      </c>
      <c r="AF44" s="23" t="n">
        <f aca="false">AF39+AF42</f>
        <v>1277500</v>
      </c>
      <c r="AG44" s="23" t="n">
        <f aca="false">AG39+AG42</f>
        <v>1378750</v>
      </c>
      <c r="AH44" s="23" t="n">
        <f aca="false">AH39+AH42</f>
        <v>1480000</v>
      </c>
      <c r="AI44" s="23" t="n">
        <f aca="false">AI39+AI42</f>
        <v>1358125</v>
      </c>
      <c r="AJ44" s="23" t="n">
        <f aca="false">AJ39+AJ42</f>
        <v>1261875</v>
      </c>
      <c r="AK44" s="23" t="n">
        <f aca="false">AK39+AK42</f>
        <v>1337812.5</v>
      </c>
      <c r="AL44" s="23" t="n">
        <f aca="false">AL39+AL42</f>
        <v>1413750</v>
      </c>
      <c r="AM44" s="23" t="n">
        <f aca="false">AM39+AM42</f>
        <v>1489687.5</v>
      </c>
      <c r="AN44" s="23" t="n">
        <f aca="false">AN39+AN42</f>
        <v>1565625</v>
      </c>
      <c r="AO44" s="23" t="n">
        <f aca="false">AO39+AO42</f>
        <v>1641562.5</v>
      </c>
      <c r="AP44" s="23" t="n">
        <f aca="false">AP39+AP42</f>
        <v>1717500</v>
      </c>
      <c r="AQ44" s="23" t="n">
        <f aca="false">AQ39+AQ42</f>
        <v>1793437.5</v>
      </c>
      <c r="AR44" s="23" t="n">
        <f aca="false">AR39+AR42</f>
        <v>1869375</v>
      </c>
      <c r="AS44" s="23" t="n">
        <f aca="false">AS39+AS42</f>
        <v>1945312.5</v>
      </c>
      <c r="AT44" s="23" t="n">
        <f aca="false">AT39+AT42</f>
        <v>2021250</v>
      </c>
      <c r="AU44" s="23" t="n">
        <f aca="false">AU39+AU42</f>
        <v>2097187.5</v>
      </c>
      <c r="AV44" s="23" t="n">
        <f aca="false">AV39+AV42</f>
        <v>2173125</v>
      </c>
      <c r="AW44" s="23" t="n">
        <f aca="false">AW39+AW42</f>
        <v>2249062.5</v>
      </c>
      <c r="AX44" s="23" t="n">
        <f aca="false">AX39+AX42</f>
        <v>2325000</v>
      </c>
      <c r="AY44" s="23" t="n">
        <f aca="false">AY39+AY42</f>
        <v>2400937.5</v>
      </c>
      <c r="AZ44" s="23" t="n">
        <f aca="false">AZ39+AZ42</f>
        <v>2476875</v>
      </c>
      <c r="BA44" s="23" t="n">
        <f aca="false">BA39+BA42</f>
        <v>2552812.5</v>
      </c>
      <c r="BB44" s="23" t="n">
        <f aca="false">BB39+BB42</f>
        <v>2628750</v>
      </c>
      <c r="BC44" s="23" t="n">
        <f aca="false">BC39+BC42</f>
        <v>2704687.5</v>
      </c>
      <c r="BD44" s="23" t="n">
        <f aca="false">BD39+BD42</f>
        <v>2780625</v>
      </c>
      <c r="BE44" s="23" t="n">
        <f aca="false">BE39+BE42</f>
        <v>2856562.5</v>
      </c>
      <c r="BF44" s="23" t="n">
        <f aca="false">BF39+BF42</f>
        <v>2932500</v>
      </c>
      <c r="BG44" s="23" t="n">
        <f aca="false">BG39+BG42</f>
        <v>3008437.5</v>
      </c>
      <c r="BH44" s="23" t="n">
        <f aca="false">BH39+BH42</f>
        <v>3084375</v>
      </c>
      <c r="BI44" s="23" t="n">
        <f aca="false">BI39+BI42</f>
        <v>3160312.5</v>
      </c>
      <c r="BJ44" s="23" t="n">
        <f aca="false">BJ39+BJ42</f>
        <v>3236250</v>
      </c>
      <c r="BK44" s="23" t="n">
        <f aca="false">BK39+BK42</f>
        <v>3312187.5</v>
      </c>
      <c r="BL44" s="23" t="n">
        <f aca="false">BL39+BL42</f>
        <v>3388125</v>
      </c>
      <c r="BM44" s="23" t="n">
        <f aca="false">BM39+BM42</f>
        <v>3464062.5</v>
      </c>
      <c r="BN44" s="23" t="n">
        <f aca="false">BN39+BN42</f>
        <v>3540000</v>
      </c>
      <c r="BO44" s="23" t="n">
        <f aca="false">BO39+BO42</f>
        <v>3615937.5</v>
      </c>
      <c r="BP44" s="23" t="n">
        <f aca="false">BP39+BP42</f>
        <v>3691875</v>
      </c>
      <c r="BQ44" s="23" t="n">
        <f aca="false">BQ39+BQ42</f>
        <v>3767812.5</v>
      </c>
      <c r="BR44" s="23" t="n">
        <f aca="false">BR39+BR42</f>
        <v>3843750</v>
      </c>
      <c r="BS44" s="23" t="n">
        <f aca="false">BS39+BS42</f>
        <v>3919687.5</v>
      </c>
      <c r="BT44" s="23" t="n">
        <f aca="false">BT39+BT42</f>
        <v>8495625</v>
      </c>
      <c r="BU44" s="23" t="n">
        <f aca="false">BU39+BU42</f>
        <v>8495625</v>
      </c>
      <c r="BV44" s="23" t="n">
        <f aca="false">BV39+BV42</f>
        <v>8495625</v>
      </c>
      <c r="BW44" s="23" t="n">
        <f aca="false">BW39+BW42</f>
        <v>8495625</v>
      </c>
      <c r="BX44" s="23" t="n">
        <f aca="false">BX39+BX42</f>
        <v>8495625</v>
      </c>
      <c r="BY44" s="23" t="n">
        <f aca="false">BY39+BY42</f>
        <v>8495625</v>
      </c>
      <c r="BZ44" s="23" t="n">
        <f aca="false">BZ39+BZ42</f>
        <v>8495625</v>
      </c>
      <c r="CA44" s="23" t="n">
        <f aca="false">CA39+CA42</f>
        <v>8495625</v>
      </c>
      <c r="CB44" s="23" t="n">
        <f aca="false">CB39+CB42</f>
        <v>8495625</v>
      </c>
      <c r="CC44" s="23" t="n">
        <f aca="false">CC39+CC42</f>
        <v>8495625</v>
      </c>
      <c r="CD44" s="23" t="n">
        <f aca="false">CD39+CD42</f>
        <v>8495625</v>
      </c>
      <c r="CE44" s="23" t="n">
        <f aca="false">CE39+CE42</f>
        <v>8495625</v>
      </c>
      <c r="CF44" s="23" t="n">
        <f aca="false">CF39+CF42</f>
        <v>8495625</v>
      </c>
      <c r="CG44" s="23" t="n">
        <f aca="false">CG39+CG42</f>
        <v>8495625</v>
      </c>
      <c r="CH44" s="23" t="n">
        <f aca="false">CH39+CH42</f>
        <v>8495625</v>
      </c>
      <c r="CI44" s="23" t="n">
        <f aca="false">CI39+CI42</f>
        <v>8495625</v>
      </c>
      <c r="CJ44" s="23" t="n">
        <f aca="false">CJ39+CJ42</f>
        <v>8495625</v>
      </c>
      <c r="CK44" s="23" t="n">
        <f aca="false">CK39+CK42</f>
        <v>8495625</v>
      </c>
      <c r="CL44" s="23" t="n">
        <f aca="false">CL39+CL42</f>
        <v>8495625</v>
      </c>
      <c r="CM44" s="23" t="n">
        <f aca="false">CM39+CM42</f>
        <v>8495625</v>
      </c>
      <c r="CN44" s="23" t="n">
        <f aca="false">CN39+CN42</f>
        <v>8495625</v>
      </c>
      <c r="CO44" s="23" t="n">
        <f aca="false">CO39+CO42</f>
        <v>8495625</v>
      </c>
      <c r="CP44" s="23" t="n">
        <f aca="false">CP39+CP42</f>
        <v>8495625</v>
      </c>
      <c r="CQ44" s="23" t="n">
        <f aca="false">CQ39+CQ42</f>
        <v>8495625</v>
      </c>
      <c r="CR44" s="23" t="n">
        <f aca="false">CR39+CR42</f>
        <v>8495625</v>
      </c>
      <c r="CS44" s="23" t="n">
        <f aca="false">CS39+CS42</f>
        <v>8495625</v>
      </c>
      <c r="CT44" s="23" t="n">
        <f aca="false">CT39+CT42</f>
        <v>8495625</v>
      </c>
      <c r="CU44" s="23" t="n">
        <f aca="false">CU39+CU42</f>
        <v>8495625</v>
      </c>
      <c r="CV44" s="23" t="n">
        <f aca="false">CV39+CV42</f>
        <v>8495625</v>
      </c>
      <c r="CW44" s="23" t="n">
        <f aca="false">CW39+CW42</f>
        <v>8495625</v>
      </c>
      <c r="CX44" s="23" t="n">
        <f aca="false">CX39+CX42</f>
        <v>8495625</v>
      </c>
      <c r="CY44" s="23" t="n">
        <f aca="false">CY39+CY42</f>
        <v>8495625</v>
      </c>
      <c r="CZ44" s="23" t="n">
        <f aca="false">CZ39+CZ42</f>
        <v>8495625</v>
      </c>
      <c r="DA44" s="23" t="n">
        <f aca="false">DA39+DA42</f>
        <v>8495625</v>
      </c>
      <c r="DB44" s="23" t="n">
        <f aca="false">DB39+DB42</f>
        <v>8495625</v>
      </c>
      <c r="DC44" s="23" t="n">
        <f aca="false">DC39+DC42</f>
        <v>8495625</v>
      </c>
      <c r="DD44" s="23" t="n">
        <f aca="false">DD39+DD42</f>
        <v>8495625</v>
      </c>
      <c r="DE44" s="23" t="n">
        <f aca="false">DE39+DE42</f>
        <v>8495625</v>
      </c>
      <c r="DF44" s="23" t="n">
        <f aca="false">DF39+DF42</f>
        <v>8495625</v>
      </c>
      <c r="DG44" s="23" t="n">
        <f aca="false">DG39+DG42</f>
        <v>8495625</v>
      </c>
      <c r="DH44" s="23" t="n">
        <f aca="false">DH39+DH42</f>
        <v>7370625</v>
      </c>
      <c r="DI44" s="23" t="n">
        <f aca="false">DI39+DI42</f>
        <v>7370625</v>
      </c>
      <c r="DJ44" s="23" t="n">
        <f aca="false">DJ39+DJ42</f>
        <v>7370625</v>
      </c>
      <c r="DK44" s="23" t="n">
        <f aca="false">DK39+DK42</f>
        <v>7370625</v>
      </c>
      <c r="DL44" s="23" t="n">
        <f aca="false">DL39+DL42</f>
        <v>7370625</v>
      </c>
      <c r="DM44" s="23" t="n">
        <f aca="false">DM39+DM42</f>
        <v>7370625</v>
      </c>
      <c r="DN44" s="23" t="n">
        <f aca="false">DN39+DN42</f>
        <v>7370625</v>
      </c>
      <c r="DO44" s="23" t="n">
        <f aca="false">DO39+DO42</f>
        <v>7370625</v>
      </c>
      <c r="DP44" s="23" t="n">
        <f aca="false">DP39+DP42</f>
        <v>7370625</v>
      </c>
      <c r="DQ44" s="23" t="n">
        <f aca="false">DQ39+DQ42</f>
        <v>7370625</v>
      </c>
      <c r="DR44" s="23" t="n">
        <f aca="false">DR39+DR42</f>
        <v>7370625</v>
      </c>
      <c r="DS44" s="23" t="n">
        <f aca="false">DS39+DS42</f>
        <v>7370625</v>
      </c>
      <c r="DT44" s="23" t="n">
        <f aca="false">DT39+DT42</f>
        <v>7370625</v>
      </c>
      <c r="DU44" s="23" t="n">
        <f aca="false">DU39+DU42</f>
        <v>7370625</v>
      </c>
      <c r="DV44" s="23" t="n">
        <f aca="false">DV39+DV42</f>
        <v>7370625</v>
      </c>
      <c r="DW44" s="23" t="n">
        <f aca="false">DW39+DW42</f>
        <v>7370625</v>
      </c>
      <c r="DX44" s="23" t="n">
        <f aca="false">DX39+DX42</f>
        <v>7370625</v>
      </c>
      <c r="DY44" s="23" t="n">
        <f aca="false">DY39+DY42</f>
        <v>7370625</v>
      </c>
      <c r="DZ44" s="23" t="n">
        <f aca="false">DZ39+DZ42</f>
        <v>7370625</v>
      </c>
      <c r="EA44" s="23" t="n">
        <f aca="false">EA39+EA42</f>
        <v>7370625</v>
      </c>
      <c r="EB44" s="23" t="n">
        <f aca="false">EB39+EB42</f>
        <v>0</v>
      </c>
      <c r="EC44" s="23" t="n">
        <f aca="false">EC39+EC42</f>
        <v>0</v>
      </c>
      <c r="ED44" s="23" t="n">
        <f aca="false">ED39+ED42</f>
        <v>0</v>
      </c>
      <c r="EE44" s="23" t="n">
        <f aca="false">EE39+EE42</f>
        <v>0</v>
      </c>
      <c r="EF44" s="23" t="n">
        <f aca="false">EF39+EF42</f>
        <v>0</v>
      </c>
      <c r="EG44" s="23" t="n">
        <f aca="false">EG39+EG42</f>
        <v>0</v>
      </c>
      <c r="EH44" s="23" t="n">
        <f aca="false">EH39+EH42</f>
        <v>0</v>
      </c>
      <c r="EI44" s="23" t="n">
        <f aca="false">EI39+EI42</f>
        <v>0</v>
      </c>
      <c r="EJ44" s="23" t="n">
        <f aca="false">EJ39+EJ42</f>
        <v>0</v>
      </c>
      <c r="EK44" s="23" t="n">
        <f aca="false">EK39+EK42</f>
        <v>0</v>
      </c>
      <c r="EL44" s="23" t="n">
        <f aca="false">EL39+EL42</f>
        <v>0</v>
      </c>
      <c r="EM44" s="23" t="n">
        <f aca="false">EM39+EM42</f>
        <v>0</v>
      </c>
      <c r="EN44" s="23" t="n">
        <f aca="false">EN39+EN42</f>
        <v>0</v>
      </c>
      <c r="EO44" s="23" t="n">
        <f aca="false">EO39+EO42</f>
        <v>0</v>
      </c>
      <c r="EP44" s="23" t="n">
        <f aca="false">EP39+EP42</f>
        <v>0</v>
      </c>
      <c r="EQ44" s="23" t="n">
        <f aca="false">EQ39+EQ42</f>
        <v>0</v>
      </c>
      <c r="ER44" s="23" t="n">
        <f aca="false">ER39+ER42</f>
        <v>0</v>
      </c>
      <c r="ES44" s="23" t="n">
        <f aca="false">ES39+ES42</f>
        <v>0</v>
      </c>
      <c r="ET44" s="23" t="n">
        <f aca="false">ET39+ET42</f>
        <v>0</v>
      </c>
      <c r="EU44" s="23" t="n">
        <f aca="false">EU39+EU42</f>
        <v>0</v>
      </c>
      <c r="EV44" s="23" t="n">
        <f aca="false">EV39+EV42</f>
        <v>0</v>
      </c>
      <c r="EW44" s="23" t="n">
        <f aca="false">EW39+EW42</f>
        <v>0</v>
      </c>
      <c r="EX44" s="23" t="n">
        <f aca="false">EX39+EX42</f>
        <v>0</v>
      </c>
      <c r="EY44" s="23" t="n">
        <f aca="false">EY39+EY42</f>
        <v>0</v>
      </c>
      <c r="EZ44" s="23" t="n">
        <f aca="false">EZ39+EZ42</f>
        <v>0</v>
      </c>
      <c r="FA44" s="23" t="n">
        <f aca="false">FA39+FA42</f>
        <v>0</v>
      </c>
      <c r="FB44" s="23" t="n">
        <f aca="false">FB39+FB42</f>
        <v>0</v>
      </c>
      <c r="FC44" s="23" t="n">
        <f aca="false">FC39+FC42</f>
        <v>0</v>
      </c>
      <c r="FD44" s="23" t="n">
        <f aca="false">FD39+FD42</f>
        <v>0</v>
      </c>
      <c r="FE44" s="23" t="n">
        <f aca="false">FE39+FE42</f>
        <v>0</v>
      </c>
      <c r="FF44" s="23" t="n">
        <f aca="false">FF39+FF42</f>
        <v>0</v>
      </c>
      <c r="FG44" s="23" t="n">
        <f aca="false">FG39+FG42</f>
        <v>0</v>
      </c>
      <c r="FH44" s="23" t="n">
        <f aca="false">FH39+FH42</f>
        <v>0</v>
      </c>
      <c r="FI44" s="23" t="n">
        <f aca="false">FI39+FI42</f>
        <v>0</v>
      </c>
      <c r="FJ44" s="23" t="n">
        <f aca="false">FJ39+FJ42</f>
        <v>0</v>
      </c>
      <c r="FK44" s="23" t="n">
        <f aca="false">FK39+FK42</f>
        <v>0</v>
      </c>
    </row>
    <row r="46" customFormat="false" ht="15" hidden="false" customHeight="true" outlineLevel="0" collapsed="false">
      <c r="D46" s="20" t="s">
        <v>92</v>
      </c>
    </row>
    <row r="47" customFormat="false" ht="15" hidden="false" customHeight="true" outlineLevel="0" collapsed="false">
      <c r="D47" s="21" t="s">
        <v>93</v>
      </c>
      <c r="E47" s="7" t="s">
        <v>28</v>
      </c>
      <c r="F47" s="22" t="n">
        <f aca="false">SUM(H47:FK47)</f>
        <v>546975000</v>
      </c>
      <c r="H47" s="23" t="n">
        <f aca="false">H25+H35-H71</f>
        <v>-112500000</v>
      </c>
      <c r="I47" s="23" t="n">
        <f aca="false">I25+I35-I71</f>
        <v>-112500000</v>
      </c>
      <c r="J47" s="23" t="n">
        <f aca="false">J25+J35-J71</f>
        <v>-112500000</v>
      </c>
      <c r="K47" s="23" t="n">
        <f aca="false">K25+K35-K71</f>
        <v>-112500000</v>
      </c>
      <c r="L47" s="23" t="n">
        <f aca="false">L25+L35-L71</f>
        <v>8495625</v>
      </c>
      <c r="M47" s="23" t="n">
        <f aca="false">M25+M35-M71</f>
        <v>8495625</v>
      </c>
      <c r="N47" s="23" t="n">
        <f aca="false">N25+N35-N71</f>
        <v>8495625</v>
      </c>
      <c r="O47" s="23" t="n">
        <f aca="false">O25+O35-O71</f>
        <v>8495625</v>
      </c>
      <c r="P47" s="23" t="n">
        <f aca="false">P25+P35-P71</f>
        <v>8495625</v>
      </c>
      <c r="Q47" s="23" t="n">
        <f aca="false">Q25+Q35-Q71</f>
        <v>8495625</v>
      </c>
      <c r="R47" s="23" t="n">
        <f aca="false">R25+R35-R71</f>
        <v>8495625</v>
      </c>
      <c r="S47" s="23" t="n">
        <f aca="false">S25+S35-S71</f>
        <v>8495625</v>
      </c>
      <c r="T47" s="23" t="n">
        <f aca="false">T25+T35-T71</f>
        <v>8495625</v>
      </c>
      <c r="U47" s="23" t="n">
        <f aca="false">U25+U35-U71</f>
        <v>8495625</v>
      </c>
      <c r="V47" s="23" t="n">
        <f aca="false">V25+V35-V71</f>
        <v>8495625</v>
      </c>
      <c r="W47" s="23" t="n">
        <f aca="false">W25+W35-W71</f>
        <v>8495625</v>
      </c>
      <c r="X47" s="23" t="n">
        <f aca="false">X25+X35-X71</f>
        <v>8495625</v>
      </c>
      <c r="Y47" s="23" t="n">
        <f aca="false">Y25+Y35-Y71</f>
        <v>8495625</v>
      </c>
      <c r="Z47" s="23" t="n">
        <f aca="false">Z25+Z35-Z71</f>
        <v>8495625</v>
      </c>
      <c r="AA47" s="23" t="n">
        <f aca="false">AA25+AA35-AA71</f>
        <v>8495625</v>
      </c>
      <c r="AB47" s="23" t="n">
        <f aca="false">AB25+AB35-AB71</f>
        <v>8495625</v>
      </c>
      <c r="AC47" s="23" t="n">
        <f aca="false">AC25+AC35-AC71</f>
        <v>8495625</v>
      </c>
      <c r="AD47" s="23" t="n">
        <f aca="false">AD25+AD35-AD71</f>
        <v>8495625</v>
      </c>
      <c r="AE47" s="23" t="n">
        <f aca="false">AE25+AE35-AE71</f>
        <v>8495625</v>
      </c>
      <c r="AF47" s="23" t="n">
        <f aca="false">AF25+AF35-AF71</f>
        <v>8495625</v>
      </c>
      <c r="AG47" s="23" t="n">
        <f aca="false">AG25+AG35-AG71</f>
        <v>8495625</v>
      </c>
      <c r="AH47" s="23" t="n">
        <f aca="false">AH25+AH35-AH71</f>
        <v>8495625</v>
      </c>
      <c r="AI47" s="23" t="n">
        <f aca="false">AI25+AI35-AI71</f>
        <v>8495625</v>
      </c>
      <c r="AJ47" s="23" t="n">
        <f aca="false">AJ25+AJ35-AJ71</f>
        <v>8495625</v>
      </c>
      <c r="AK47" s="23" t="n">
        <f aca="false">AK25+AK35-AK71</f>
        <v>8495625</v>
      </c>
      <c r="AL47" s="23" t="n">
        <f aca="false">AL25+AL35-AL71</f>
        <v>8495625</v>
      </c>
      <c r="AM47" s="23" t="n">
        <f aca="false">AM25+AM35-AM71</f>
        <v>8495625</v>
      </c>
      <c r="AN47" s="23" t="n">
        <f aca="false">AN25+AN35-AN71</f>
        <v>8495625</v>
      </c>
      <c r="AO47" s="23" t="n">
        <f aca="false">AO25+AO35-AO71</f>
        <v>8495625</v>
      </c>
      <c r="AP47" s="23" t="n">
        <f aca="false">AP25+AP35-AP71</f>
        <v>8495625</v>
      </c>
      <c r="AQ47" s="23" t="n">
        <f aca="false">AQ25+AQ35-AQ71</f>
        <v>8495625</v>
      </c>
      <c r="AR47" s="23" t="n">
        <f aca="false">AR25+AR35-AR71</f>
        <v>8495625</v>
      </c>
      <c r="AS47" s="23" t="n">
        <f aca="false">AS25+AS35-AS71</f>
        <v>8495625</v>
      </c>
      <c r="AT47" s="23" t="n">
        <f aca="false">AT25+AT35-AT71</f>
        <v>8495625</v>
      </c>
      <c r="AU47" s="23" t="n">
        <f aca="false">AU25+AU35-AU71</f>
        <v>8495625</v>
      </c>
      <c r="AV47" s="23" t="n">
        <f aca="false">AV25+AV35-AV71</f>
        <v>8495625</v>
      </c>
      <c r="AW47" s="23" t="n">
        <f aca="false">AW25+AW35-AW71</f>
        <v>8495625</v>
      </c>
      <c r="AX47" s="23" t="n">
        <f aca="false">AX25+AX35-AX71</f>
        <v>8495625</v>
      </c>
      <c r="AY47" s="23" t="n">
        <f aca="false">AY25+AY35-AY71</f>
        <v>8495625</v>
      </c>
      <c r="AZ47" s="23" t="n">
        <f aca="false">AZ25+AZ35-AZ71</f>
        <v>8495625</v>
      </c>
      <c r="BA47" s="23" t="n">
        <f aca="false">BA25+BA35-BA71</f>
        <v>8495625</v>
      </c>
      <c r="BB47" s="23" t="n">
        <f aca="false">BB25+BB35-BB71</f>
        <v>8495625</v>
      </c>
      <c r="BC47" s="23" t="n">
        <f aca="false">BC25+BC35-BC71</f>
        <v>8495625</v>
      </c>
      <c r="BD47" s="23" t="n">
        <f aca="false">BD25+BD35-BD71</f>
        <v>8495625</v>
      </c>
      <c r="BE47" s="23" t="n">
        <f aca="false">BE25+BE35-BE71</f>
        <v>8495625</v>
      </c>
      <c r="BF47" s="23" t="n">
        <f aca="false">BF25+BF35-BF71</f>
        <v>8495625</v>
      </c>
      <c r="BG47" s="23" t="n">
        <f aca="false">BG25+BG35-BG71</f>
        <v>8495625</v>
      </c>
      <c r="BH47" s="23" t="n">
        <f aca="false">BH25+BH35-BH71</f>
        <v>8495625</v>
      </c>
      <c r="BI47" s="23" t="n">
        <f aca="false">BI25+BI35-BI71</f>
        <v>8495625</v>
      </c>
      <c r="BJ47" s="23" t="n">
        <f aca="false">BJ25+BJ35-BJ71</f>
        <v>8495625</v>
      </c>
      <c r="BK47" s="23" t="n">
        <f aca="false">BK25+BK35-BK71</f>
        <v>8495625</v>
      </c>
      <c r="BL47" s="23" t="n">
        <f aca="false">BL25+BL35-BL71</f>
        <v>8495625</v>
      </c>
      <c r="BM47" s="23" t="n">
        <f aca="false">BM25+BM35-BM71</f>
        <v>8495625</v>
      </c>
      <c r="BN47" s="23" t="n">
        <f aca="false">BN25+BN35-BN71</f>
        <v>8495625</v>
      </c>
      <c r="BO47" s="23" t="n">
        <f aca="false">BO25+BO35-BO71</f>
        <v>8495625</v>
      </c>
      <c r="BP47" s="23" t="n">
        <f aca="false">BP25+BP35-BP71</f>
        <v>8495625</v>
      </c>
      <c r="BQ47" s="23" t="n">
        <f aca="false">BQ25+BQ35-BQ71</f>
        <v>8495625</v>
      </c>
      <c r="BR47" s="23" t="n">
        <f aca="false">BR25+BR35-BR71</f>
        <v>8495625</v>
      </c>
      <c r="BS47" s="23" t="n">
        <f aca="false">BS25+BS35-BS71</f>
        <v>8495625</v>
      </c>
      <c r="BT47" s="23" t="n">
        <f aca="false">BT25+BT35-BT71</f>
        <v>8495625</v>
      </c>
      <c r="BU47" s="23" t="n">
        <f aca="false">BU25+BU35-BU71</f>
        <v>8495625</v>
      </c>
      <c r="BV47" s="23" t="n">
        <f aca="false">BV25+BV35-BV71</f>
        <v>8495625</v>
      </c>
      <c r="BW47" s="23" t="n">
        <f aca="false">BW25+BW35-BW71</f>
        <v>8495625</v>
      </c>
      <c r="BX47" s="23" t="n">
        <f aca="false">BX25+BX35-BX71</f>
        <v>8495625</v>
      </c>
      <c r="BY47" s="23" t="n">
        <f aca="false">BY25+BY35-BY71</f>
        <v>8495625</v>
      </c>
      <c r="BZ47" s="23" t="n">
        <f aca="false">BZ25+BZ35-BZ71</f>
        <v>8495625</v>
      </c>
      <c r="CA47" s="23" t="n">
        <f aca="false">CA25+CA35-CA71</f>
        <v>8495625</v>
      </c>
      <c r="CB47" s="23" t="n">
        <f aca="false">CB25+CB35-CB71</f>
        <v>8495625</v>
      </c>
      <c r="CC47" s="23" t="n">
        <f aca="false">CC25+CC35-CC71</f>
        <v>8495625</v>
      </c>
      <c r="CD47" s="23" t="n">
        <f aca="false">CD25+CD35-CD71</f>
        <v>8495625</v>
      </c>
      <c r="CE47" s="23" t="n">
        <f aca="false">CE25+CE35-CE71</f>
        <v>8495625</v>
      </c>
      <c r="CF47" s="23" t="n">
        <f aca="false">CF25+CF35-CF71</f>
        <v>8495625</v>
      </c>
      <c r="CG47" s="23" t="n">
        <f aca="false">CG25+CG35-CG71</f>
        <v>8495625</v>
      </c>
      <c r="CH47" s="23" t="n">
        <f aca="false">CH25+CH35-CH71</f>
        <v>8495625</v>
      </c>
      <c r="CI47" s="23" t="n">
        <f aca="false">CI25+CI35-CI71</f>
        <v>8495625</v>
      </c>
      <c r="CJ47" s="23" t="n">
        <f aca="false">CJ25+CJ35-CJ71</f>
        <v>8495625</v>
      </c>
      <c r="CK47" s="23" t="n">
        <f aca="false">CK25+CK35-CK71</f>
        <v>8495625</v>
      </c>
      <c r="CL47" s="23" t="n">
        <f aca="false">CL25+CL35-CL71</f>
        <v>8495625</v>
      </c>
      <c r="CM47" s="23" t="n">
        <f aca="false">CM25+CM35-CM71</f>
        <v>8495625</v>
      </c>
      <c r="CN47" s="23" t="n">
        <f aca="false">CN25+CN35-CN71</f>
        <v>8495625</v>
      </c>
      <c r="CO47" s="23" t="n">
        <f aca="false">CO25+CO35-CO71</f>
        <v>8495625</v>
      </c>
      <c r="CP47" s="23" t="n">
        <f aca="false">CP25+CP35-CP71</f>
        <v>8495625</v>
      </c>
      <c r="CQ47" s="23" t="n">
        <f aca="false">CQ25+CQ35-CQ71</f>
        <v>8495625</v>
      </c>
      <c r="CR47" s="23" t="n">
        <f aca="false">CR25+CR35-CR71</f>
        <v>8495625</v>
      </c>
      <c r="CS47" s="23" t="n">
        <f aca="false">CS25+CS35-CS71</f>
        <v>8495625</v>
      </c>
      <c r="CT47" s="23" t="n">
        <f aca="false">CT25+CT35-CT71</f>
        <v>8495625</v>
      </c>
      <c r="CU47" s="23" t="n">
        <f aca="false">CU25+CU35-CU71</f>
        <v>8495625</v>
      </c>
      <c r="CV47" s="23" t="n">
        <f aca="false">CV25+CV35-CV71</f>
        <v>8495625</v>
      </c>
      <c r="CW47" s="23" t="n">
        <f aca="false">CW25+CW35-CW71</f>
        <v>8495625</v>
      </c>
      <c r="CX47" s="23" t="n">
        <f aca="false">CX25+CX35-CX71</f>
        <v>8495625</v>
      </c>
      <c r="CY47" s="23" t="n">
        <f aca="false">CY25+CY35-CY71</f>
        <v>8495625</v>
      </c>
      <c r="CZ47" s="23" t="n">
        <f aca="false">CZ25+CZ35-CZ71</f>
        <v>8495625</v>
      </c>
      <c r="DA47" s="23" t="n">
        <f aca="false">DA25+DA35-DA71</f>
        <v>8495625</v>
      </c>
      <c r="DB47" s="23" t="n">
        <f aca="false">DB25+DB35-DB71</f>
        <v>8495625</v>
      </c>
      <c r="DC47" s="23" t="n">
        <f aca="false">DC25+DC35-DC71</f>
        <v>8495625</v>
      </c>
      <c r="DD47" s="23" t="n">
        <f aca="false">DD25+DD35-DD71</f>
        <v>8495625</v>
      </c>
      <c r="DE47" s="23" t="n">
        <f aca="false">DE25+DE35-DE71</f>
        <v>8495625</v>
      </c>
      <c r="DF47" s="23" t="n">
        <f aca="false">DF25+DF35-DF71</f>
        <v>8495625</v>
      </c>
      <c r="DG47" s="23" t="n">
        <f aca="false">DG25+DG35-DG71</f>
        <v>8495625</v>
      </c>
      <c r="DH47" s="23" t="n">
        <f aca="false">DH25+DH35-DH71</f>
        <v>7370625</v>
      </c>
      <c r="DI47" s="23" t="n">
        <f aca="false">DI25+DI35-DI71</f>
        <v>7370625</v>
      </c>
      <c r="DJ47" s="23" t="n">
        <f aca="false">DJ25+DJ35-DJ71</f>
        <v>7370625</v>
      </c>
      <c r="DK47" s="23" t="n">
        <f aca="false">DK25+DK35-DK71</f>
        <v>7370625</v>
      </c>
      <c r="DL47" s="23" t="n">
        <f aca="false">DL25+DL35-DL71</f>
        <v>7370625</v>
      </c>
      <c r="DM47" s="23" t="n">
        <f aca="false">DM25+DM35-DM71</f>
        <v>7370625</v>
      </c>
      <c r="DN47" s="23" t="n">
        <f aca="false">DN25+DN35-DN71</f>
        <v>7370625</v>
      </c>
      <c r="DO47" s="23" t="n">
        <f aca="false">DO25+DO35-DO71</f>
        <v>7370625</v>
      </c>
      <c r="DP47" s="23" t="n">
        <f aca="false">DP25+DP35-DP71</f>
        <v>7370625</v>
      </c>
      <c r="DQ47" s="23" t="n">
        <f aca="false">DQ25+DQ35-DQ71</f>
        <v>7370625</v>
      </c>
      <c r="DR47" s="23" t="n">
        <f aca="false">DR25+DR35-DR71</f>
        <v>7370625</v>
      </c>
      <c r="DS47" s="23" t="n">
        <f aca="false">DS25+DS35-DS71</f>
        <v>7370625</v>
      </c>
      <c r="DT47" s="23" t="n">
        <f aca="false">DT25+DT35-DT71</f>
        <v>7370625</v>
      </c>
      <c r="DU47" s="23" t="n">
        <f aca="false">DU25+DU35-DU71</f>
        <v>7370625</v>
      </c>
      <c r="DV47" s="23" t="n">
        <f aca="false">DV25+DV35-DV71</f>
        <v>7370625</v>
      </c>
      <c r="DW47" s="23" t="n">
        <f aca="false">DW25+DW35-DW71</f>
        <v>7370625</v>
      </c>
      <c r="DX47" s="23" t="n">
        <f aca="false">DX25+DX35-DX71</f>
        <v>7370625</v>
      </c>
      <c r="DY47" s="23" t="n">
        <f aca="false">DY25+DY35-DY71</f>
        <v>7370625</v>
      </c>
      <c r="DZ47" s="23" t="n">
        <f aca="false">DZ25+DZ35-DZ71</f>
        <v>7370625</v>
      </c>
      <c r="EA47" s="23" t="n">
        <f aca="false">EA25+EA35-EA71</f>
        <v>7370625</v>
      </c>
      <c r="EB47" s="23" t="n">
        <f aca="false">EB25+EB35-EB71</f>
        <v>0</v>
      </c>
      <c r="EC47" s="23" t="n">
        <f aca="false">EC25+EC35-EC71</f>
        <v>0</v>
      </c>
      <c r="ED47" s="23" t="n">
        <f aca="false">ED25+ED35-ED71</f>
        <v>0</v>
      </c>
      <c r="EE47" s="23" t="n">
        <f aca="false">EE25+EE35-EE71</f>
        <v>0</v>
      </c>
      <c r="EF47" s="23" t="n">
        <f aca="false">EF25+EF35-EF71</f>
        <v>0</v>
      </c>
      <c r="EG47" s="23" t="n">
        <f aca="false">EG25+EG35-EG71</f>
        <v>0</v>
      </c>
      <c r="EH47" s="23" t="n">
        <f aca="false">EH25+EH35-EH71</f>
        <v>0</v>
      </c>
      <c r="EI47" s="23" t="n">
        <f aca="false">EI25+EI35-EI71</f>
        <v>0</v>
      </c>
      <c r="EJ47" s="23" t="n">
        <f aca="false">EJ25+EJ35-EJ71</f>
        <v>0</v>
      </c>
      <c r="EK47" s="23" t="n">
        <f aca="false">EK25+EK35-EK71</f>
        <v>0</v>
      </c>
      <c r="EL47" s="23" t="n">
        <f aca="false">EL25+EL35-EL71</f>
        <v>0</v>
      </c>
      <c r="EM47" s="23" t="n">
        <f aca="false">EM25+EM35-EM71</f>
        <v>0</v>
      </c>
      <c r="EN47" s="23" t="n">
        <f aca="false">EN25+EN35-EN71</f>
        <v>0</v>
      </c>
      <c r="EO47" s="23" t="n">
        <f aca="false">EO25+EO35-EO71</f>
        <v>0</v>
      </c>
      <c r="EP47" s="23" t="n">
        <f aca="false">EP25+EP35-EP71</f>
        <v>0</v>
      </c>
      <c r="EQ47" s="23" t="n">
        <f aca="false">EQ25+EQ35-EQ71</f>
        <v>0</v>
      </c>
      <c r="ER47" s="23" t="n">
        <f aca="false">ER25+ER35-ER71</f>
        <v>0</v>
      </c>
      <c r="ES47" s="23" t="n">
        <f aca="false">ES25+ES35-ES71</f>
        <v>0</v>
      </c>
      <c r="ET47" s="23" t="n">
        <f aca="false">ET25+ET35-ET71</f>
        <v>0</v>
      </c>
      <c r="EU47" s="23" t="n">
        <f aca="false">EU25+EU35-EU71</f>
        <v>0</v>
      </c>
      <c r="EV47" s="23" t="n">
        <f aca="false">EV25+EV35-EV71</f>
        <v>0</v>
      </c>
      <c r="EW47" s="23" t="n">
        <f aca="false">EW25+EW35-EW71</f>
        <v>0</v>
      </c>
      <c r="EX47" s="23" t="n">
        <f aca="false">EX25+EX35-EX71</f>
        <v>0</v>
      </c>
      <c r="EY47" s="23" t="n">
        <f aca="false">EY25+EY35-EY71</f>
        <v>0</v>
      </c>
      <c r="EZ47" s="23" t="n">
        <f aca="false">EZ25+EZ35-EZ71</f>
        <v>0</v>
      </c>
      <c r="FA47" s="23" t="n">
        <f aca="false">FA25+FA35-FA71</f>
        <v>0</v>
      </c>
      <c r="FB47" s="23" t="n">
        <f aca="false">FB25+FB35-FB71</f>
        <v>0</v>
      </c>
      <c r="FC47" s="23" t="n">
        <f aca="false">FC25+FC35-FC71</f>
        <v>0</v>
      </c>
      <c r="FD47" s="23" t="n">
        <f aca="false">FD25+FD35-FD71</f>
        <v>0</v>
      </c>
      <c r="FE47" s="23" t="n">
        <f aca="false">FE25+FE35-FE71</f>
        <v>0</v>
      </c>
      <c r="FF47" s="23" t="n">
        <f aca="false">FF25+FF35-FF71</f>
        <v>0</v>
      </c>
      <c r="FG47" s="23" t="n">
        <f aca="false">FG25+FG35-FG71</f>
        <v>0</v>
      </c>
      <c r="FH47" s="23" t="n">
        <f aca="false">FH25+FH35-FH71</f>
        <v>0</v>
      </c>
      <c r="FI47" s="23" t="n">
        <f aca="false">FI25+FI35-FI71</f>
        <v>0</v>
      </c>
      <c r="FJ47" s="23" t="n">
        <f aca="false">FJ25+FJ35-FJ71</f>
        <v>0</v>
      </c>
      <c r="FK47" s="23" t="n">
        <f aca="false">FK25+FK35-FK71</f>
        <v>0</v>
      </c>
    </row>
    <row r="48" customFormat="false" ht="15" hidden="false" customHeight="true" outlineLevel="0" collapsed="false">
      <c r="D48" s="21" t="s">
        <v>94</v>
      </c>
      <c r="E48" s="7" t="s">
        <v>28</v>
      </c>
      <c r="F48" s="22" t="n">
        <f aca="false">SUM(H48:FK48)</f>
        <v>410287500</v>
      </c>
      <c r="H48" s="23" t="n">
        <f aca="false">IF(H16=TRUE(),-H26,H44)</f>
        <v>-45000000</v>
      </c>
      <c r="I48" s="23" t="n">
        <f aca="false">IF(I16=TRUE(),-I26,I44)</f>
        <v>-45000000</v>
      </c>
      <c r="J48" s="23" t="n">
        <f aca="false">IF(J16=TRUE(),-J26,J44)</f>
        <v>-45000000</v>
      </c>
      <c r="K48" s="23" t="n">
        <f aca="false">IF(K16=TRUE(),-K26,K44)</f>
        <v>-45000000</v>
      </c>
      <c r="L48" s="23" t="n">
        <f aca="false">IF(L16=TRUE(),-L26,L44)</f>
        <v>-747500</v>
      </c>
      <c r="M48" s="23" t="n">
        <f aca="false">IF(M16=TRUE(),-M26,M44)</f>
        <v>-646250</v>
      </c>
      <c r="N48" s="23" t="n">
        <f aca="false">IF(N16=TRUE(),-N26,N44)</f>
        <v>-545000</v>
      </c>
      <c r="O48" s="23" t="n">
        <f aca="false">IF(O16=TRUE(),-O26,O44)</f>
        <v>-443750</v>
      </c>
      <c r="P48" s="23" t="n">
        <f aca="false">IF(P16=TRUE(),-P26,P44)</f>
        <v>-342500</v>
      </c>
      <c r="Q48" s="23" t="n">
        <f aca="false">IF(Q16=TRUE(),-Q26,Q44)</f>
        <v>-241250</v>
      </c>
      <c r="R48" s="23" t="n">
        <f aca="false">IF(R16=TRUE(),-R26,R44)</f>
        <v>-140000</v>
      </c>
      <c r="S48" s="23" t="n">
        <f aca="false">IF(S16=TRUE(),-S26,S44)</f>
        <v>-38750</v>
      </c>
      <c r="T48" s="23" t="n">
        <f aca="false">IF(T16=TRUE(),-T26,T44)</f>
        <v>62500</v>
      </c>
      <c r="U48" s="23" t="n">
        <f aca="false">IF(U16=TRUE(),-U26,U44)</f>
        <v>163750</v>
      </c>
      <c r="V48" s="23" t="n">
        <f aca="false">IF(V16=TRUE(),-V26,V44)</f>
        <v>265000</v>
      </c>
      <c r="W48" s="23" t="n">
        <f aca="false">IF(W16=TRUE(),-W26,W44)</f>
        <v>366250</v>
      </c>
      <c r="X48" s="23" t="n">
        <f aca="false">IF(X16=TRUE(),-X26,X44)</f>
        <v>467500</v>
      </c>
      <c r="Y48" s="23" t="n">
        <f aca="false">IF(Y16=TRUE(),-Y26,Y44)</f>
        <v>568750</v>
      </c>
      <c r="Z48" s="23" t="n">
        <f aca="false">IF(Z16=TRUE(),-Z26,Z44)</f>
        <v>670000</v>
      </c>
      <c r="AA48" s="23" t="n">
        <f aca="false">IF(AA16=TRUE(),-AA26,AA44)</f>
        <v>771250</v>
      </c>
      <c r="AB48" s="23" t="n">
        <f aca="false">IF(AB16=TRUE(),-AB26,AB44)</f>
        <v>872500</v>
      </c>
      <c r="AC48" s="23" t="n">
        <f aca="false">IF(AC16=TRUE(),-AC26,AC44)</f>
        <v>973750</v>
      </c>
      <c r="AD48" s="23" t="n">
        <f aca="false">IF(AD16=TRUE(),-AD26,AD44)</f>
        <v>1075000</v>
      </c>
      <c r="AE48" s="23" t="n">
        <f aca="false">IF(AE16=TRUE(),-AE26,AE44)</f>
        <v>1176250</v>
      </c>
      <c r="AF48" s="23" t="n">
        <f aca="false">IF(AF16=TRUE(),-AF26,AF44)</f>
        <v>1277500</v>
      </c>
      <c r="AG48" s="23" t="n">
        <f aca="false">IF(AG16=TRUE(),-AG26,AG44)</f>
        <v>1378750</v>
      </c>
      <c r="AH48" s="23" t="n">
        <f aca="false">IF(AH16=TRUE(),-AH26,AH44)</f>
        <v>1480000</v>
      </c>
      <c r="AI48" s="23" t="n">
        <f aca="false">IF(AI16=TRUE(),-AI26,AI44)</f>
        <v>1358125</v>
      </c>
      <c r="AJ48" s="23" t="n">
        <f aca="false">IF(AJ16=TRUE(),-AJ26,AJ44)</f>
        <v>1261875</v>
      </c>
      <c r="AK48" s="23" t="n">
        <f aca="false">IF(AK16=TRUE(),-AK26,AK44)</f>
        <v>1337812.5</v>
      </c>
      <c r="AL48" s="23" t="n">
        <f aca="false">IF(AL16=TRUE(),-AL26,AL44)</f>
        <v>1413750</v>
      </c>
      <c r="AM48" s="23" t="n">
        <f aca="false">IF(AM16=TRUE(),-AM26,AM44)</f>
        <v>1489687.5</v>
      </c>
      <c r="AN48" s="23" t="n">
        <f aca="false">IF(AN16=TRUE(),-AN26,AN44)</f>
        <v>1565625</v>
      </c>
      <c r="AO48" s="23" t="n">
        <f aca="false">IF(AO16=TRUE(),-AO26,AO44)</f>
        <v>1641562.5</v>
      </c>
      <c r="AP48" s="23" t="n">
        <f aca="false">IF(AP16=TRUE(),-AP26,AP44)</f>
        <v>1717500</v>
      </c>
      <c r="AQ48" s="23" t="n">
        <f aca="false">IF(AQ16=TRUE(),-AQ26,AQ44)</f>
        <v>1793437.5</v>
      </c>
      <c r="AR48" s="23" t="n">
        <f aca="false">IF(AR16=TRUE(),-AR26,AR44)</f>
        <v>1869375</v>
      </c>
      <c r="AS48" s="23" t="n">
        <f aca="false">IF(AS16=TRUE(),-AS26,AS44)</f>
        <v>1945312.5</v>
      </c>
      <c r="AT48" s="23" t="n">
        <f aca="false">IF(AT16=TRUE(),-AT26,AT44)</f>
        <v>2021250</v>
      </c>
      <c r="AU48" s="23" t="n">
        <f aca="false">IF(AU16=TRUE(),-AU26,AU44)</f>
        <v>2097187.5</v>
      </c>
      <c r="AV48" s="23" t="n">
        <f aca="false">IF(AV16=TRUE(),-AV26,AV44)</f>
        <v>2173125</v>
      </c>
      <c r="AW48" s="23" t="n">
        <f aca="false">IF(AW16=TRUE(),-AW26,AW44)</f>
        <v>2249062.5</v>
      </c>
      <c r="AX48" s="23" t="n">
        <f aca="false">IF(AX16=TRUE(),-AX26,AX44)</f>
        <v>2325000</v>
      </c>
      <c r="AY48" s="23" t="n">
        <f aca="false">IF(AY16=TRUE(),-AY26,AY44)</f>
        <v>2400937.5</v>
      </c>
      <c r="AZ48" s="23" t="n">
        <f aca="false">IF(AZ16=TRUE(),-AZ26,AZ44)</f>
        <v>2476875</v>
      </c>
      <c r="BA48" s="23" t="n">
        <f aca="false">IF(BA16=TRUE(),-BA26,BA44)</f>
        <v>2552812.5</v>
      </c>
      <c r="BB48" s="23" t="n">
        <f aca="false">IF(BB16=TRUE(),-BB26,BB44)</f>
        <v>2628750</v>
      </c>
      <c r="BC48" s="23" t="n">
        <f aca="false">IF(BC16=TRUE(),-BC26,BC44)</f>
        <v>2704687.5</v>
      </c>
      <c r="BD48" s="23" t="n">
        <f aca="false">IF(BD16=TRUE(),-BD26,BD44)</f>
        <v>2780625</v>
      </c>
      <c r="BE48" s="23" t="n">
        <f aca="false">IF(BE16=TRUE(),-BE26,BE44)</f>
        <v>2856562.5</v>
      </c>
      <c r="BF48" s="23" t="n">
        <f aca="false">IF(BF16=TRUE(),-BF26,BF44)</f>
        <v>2932500</v>
      </c>
      <c r="BG48" s="23" t="n">
        <f aca="false">IF(BG16=TRUE(),-BG26,BG44)</f>
        <v>3008437.5</v>
      </c>
      <c r="BH48" s="23" t="n">
        <f aca="false">IF(BH16=TRUE(),-BH26,BH44)</f>
        <v>3084375</v>
      </c>
      <c r="BI48" s="23" t="n">
        <f aca="false">IF(BI16=TRUE(),-BI26,BI44)</f>
        <v>3160312.5</v>
      </c>
      <c r="BJ48" s="23" t="n">
        <f aca="false">IF(BJ16=TRUE(),-BJ26,BJ44)</f>
        <v>3236250</v>
      </c>
      <c r="BK48" s="23" t="n">
        <f aca="false">IF(BK16=TRUE(),-BK26,BK44)</f>
        <v>3312187.5</v>
      </c>
      <c r="BL48" s="23" t="n">
        <f aca="false">IF(BL16=TRUE(),-BL26,BL44)</f>
        <v>3388125</v>
      </c>
      <c r="BM48" s="23" t="n">
        <f aca="false">IF(BM16=TRUE(),-BM26,BM44)</f>
        <v>3464062.5</v>
      </c>
      <c r="BN48" s="23" t="n">
        <f aca="false">IF(BN16=TRUE(),-BN26,BN44)</f>
        <v>3540000</v>
      </c>
      <c r="BO48" s="23" t="n">
        <f aca="false">IF(BO16=TRUE(),-BO26,BO44)</f>
        <v>3615937.5</v>
      </c>
      <c r="BP48" s="23" t="n">
        <f aca="false">IF(BP16=TRUE(),-BP26,BP44)</f>
        <v>3691875</v>
      </c>
      <c r="BQ48" s="23" t="n">
        <f aca="false">IF(BQ16=TRUE(),-BQ26,BQ44)</f>
        <v>3767812.5</v>
      </c>
      <c r="BR48" s="23" t="n">
        <f aca="false">IF(BR16=TRUE(),-BR26,BR44)</f>
        <v>3843750</v>
      </c>
      <c r="BS48" s="23" t="n">
        <f aca="false">IF(BS16=TRUE(),-BS26,BS44)</f>
        <v>3919687.5</v>
      </c>
      <c r="BT48" s="23" t="n">
        <f aca="false">IF(BT16=TRUE(),-BT26,BT44)</f>
        <v>8495625</v>
      </c>
      <c r="BU48" s="23" t="n">
        <f aca="false">IF(BU16=TRUE(),-BU26,BU44)</f>
        <v>8495625</v>
      </c>
      <c r="BV48" s="23" t="n">
        <f aca="false">IF(BV16=TRUE(),-BV26,BV44)</f>
        <v>8495625</v>
      </c>
      <c r="BW48" s="23" t="n">
        <f aca="false">IF(BW16=TRUE(),-BW26,BW44)</f>
        <v>8495625</v>
      </c>
      <c r="BX48" s="23" t="n">
        <f aca="false">IF(BX16=TRUE(),-BX26,BX44)</f>
        <v>8495625</v>
      </c>
      <c r="BY48" s="23" t="n">
        <f aca="false">IF(BY16=TRUE(),-BY26,BY44)</f>
        <v>8495625</v>
      </c>
      <c r="BZ48" s="23" t="n">
        <f aca="false">IF(BZ16=TRUE(),-BZ26,BZ44)</f>
        <v>8495625</v>
      </c>
      <c r="CA48" s="23" t="n">
        <f aca="false">IF(CA16=TRUE(),-CA26,CA44)</f>
        <v>8495625</v>
      </c>
      <c r="CB48" s="23" t="n">
        <f aca="false">IF(CB16=TRUE(),-CB26,CB44)</f>
        <v>8495625</v>
      </c>
      <c r="CC48" s="23" t="n">
        <f aca="false">IF(CC16=TRUE(),-CC26,CC44)</f>
        <v>8495625</v>
      </c>
      <c r="CD48" s="23" t="n">
        <f aca="false">IF(CD16=TRUE(),-CD26,CD44)</f>
        <v>8495625</v>
      </c>
      <c r="CE48" s="23" t="n">
        <f aca="false">IF(CE16=TRUE(),-CE26,CE44)</f>
        <v>8495625</v>
      </c>
      <c r="CF48" s="23" t="n">
        <f aca="false">IF(CF16=TRUE(),-CF26,CF44)</f>
        <v>8495625</v>
      </c>
      <c r="CG48" s="23" t="n">
        <f aca="false">IF(CG16=TRUE(),-CG26,CG44)</f>
        <v>8495625</v>
      </c>
      <c r="CH48" s="23" t="n">
        <f aca="false">IF(CH16=TRUE(),-CH26,CH44)</f>
        <v>8495625</v>
      </c>
      <c r="CI48" s="23" t="n">
        <f aca="false">IF(CI16=TRUE(),-CI26,CI44)</f>
        <v>8495625</v>
      </c>
      <c r="CJ48" s="23" t="n">
        <f aca="false">IF(CJ16=TRUE(),-CJ26,CJ44)</f>
        <v>8495625</v>
      </c>
      <c r="CK48" s="23" t="n">
        <f aca="false">IF(CK16=TRUE(),-CK26,CK44)</f>
        <v>8495625</v>
      </c>
      <c r="CL48" s="23" t="n">
        <f aca="false">IF(CL16=TRUE(),-CL26,CL44)</f>
        <v>8495625</v>
      </c>
      <c r="CM48" s="23" t="n">
        <f aca="false">IF(CM16=TRUE(),-CM26,CM44)</f>
        <v>8495625</v>
      </c>
      <c r="CN48" s="23" t="n">
        <f aca="false">IF(CN16=TRUE(),-CN26,CN44)</f>
        <v>8495625</v>
      </c>
      <c r="CO48" s="23" t="n">
        <f aca="false">IF(CO16=TRUE(),-CO26,CO44)</f>
        <v>8495625</v>
      </c>
      <c r="CP48" s="23" t="n">
        <f aca="false">IF(CP16=TRUE(),-CP26,CP44)</f>
        <v>8495625</v>
      </c>
      <c r="CQ48" s="23" t="n">
        <f aca="false">IF(CQ16=TRUE(),-CQ26,CQ44)</f>
        <v>8495625</v>
      </c>
      <c r="CR48" s="23" t="n">
        <f aca="false">IF(CR16=TRUE(),-CR26,CR44)</f>
        <v>8495625</v>
      </c>
      <c r="CS48" s="23" t="n">
        <f aca="false">IF(CS16=TRUE(),-CS26,CS44)</f>
        <v>8495625</v>
      </c>
      <c r="CT48" s="23" t="n">
        <f aca="false">IF(CT16=TRUE(),-CT26,CT44)</f>
        <v>8495625</v>
      </c>
      <c r="CU48" s="23" t="n">
        <f aca="false">IF(CU16=TRUE(),-CU26,CU44)</f>
        <v>8495625</v>
      </c>
      <c r="CV48" s="23" t="n">
        <f aca="false">IF(CV16=TRUE(),-CV26,CV44)</f>
        <v>8495625</v>
      </c>
      <c r="CW48" s="23" t="n">
        <f aca="false">IF(CW16=TRUE(),-CW26,CW44)</f>
        <v>8495625</v>
      </c>
      <c r="CX48" s="23" t="n">
        <f aca="false">IF(CX16=TRUE(),-CX26,CX44)</f>
        <v>8495625</v>
      </c>
      <c r="CY48" s="23" t="n">
        <f aca="false">IF(CY16=TRUE(),-CY26,CY44)</f>
        <v>8495625</v>
      </c>
      <c r="CZ48" s="23" t="n">
        <f aca="false">IF(CZ16=TRUE(),-CZ26,CZ44)</f>
        <v>8495625</v>
      </c>
      <c r="DA48" s="23" t="n">
        <f aca="false">IF(DA16=TRUE(),-DA26,DA44)</f>
        <v>8495625</v>
      </c>
      <c r="DB48" s="23" t="n">
        <f aca="false">IF(DB16=TRUE(),-DB26,DB44)</f>
        <v>8495625</v>
      </c>
      <c r="DC48" s="23" t="n">
        <f aca="false">IF(DC16=TRUE(),-DC26,DC44)</f>
        <v>8495625</v>
      </c>
      <c r="DD48" s="23" t="n">
        <f aca="false">IF(DD16=TRUE(),-DD26,DD44)</f>
        <v>8495625</v>
      </c>
      <c r="DE48" s="23" t="n">
        <f aca="false">IF(DE16=TRUE(),-DE26,DE44)</f>
        <v>8495625</v>
      </c>
      <c r="DF48" s="23" t="n">
        <f aca="false">IF(DF16=TRUE(),-DF26,DF44)</f>
        <v>8495625</v>
      </c>
      <c r="DG48" s="23" t="n">
        <f aca="false">IF(DG16=TRUE(),-DG26,DG44)</f>
        <v>8495625</v>
      </c>
      <c r="DH48" s="23" t="n">
        <f aca="false">IF(DH16=TRUE(),-DH26,DH44)</f>
        <v>7370625</v>
      </c>
      <c r="DI48" s="23" t="n">
        <f aca="false">IF(DI16=TRUE(),-DI26,DI44)</f>
        <v>7370625</v>
      </c>
      <c r="DJ48" s="23" t="n">
        <f aca="false">IF(DJ16=TRUE(),-DJ26,DJ44)</f>
        <v>7370625</v>
      </c>
      <c r="DK48" s="23" t="n">
        <f aca="false">IF(DK16=TRUE(),-DK26,DK44)</f>
        <v>7370625</v>
      </c>
      <c r="DL48" s="23" t="n">
        <f aca="false">IF(DL16=TRUE(),-DL26,DL44)</f>
        <v>7370625</v>
      </c>
      <c r="DM48" s="23" t="n">
        <f aca="false">IF(DM16=TRUE(),-DM26,DM44)</f>
        <v>7370625</v>
      </c>
      <c r="DN48" s="23" t="n">
        <f aca="false">IF(DN16=TRUE(),-DN26,DN44)</f>
        <v>7370625</v>
      </c>
      <c r="DO48" s="23" t="n">
        <f aca="false">IF(DO16=TRUE(),-DO26,DO44)</f>
        <v>7370625</v>
      </c>
      <c r="DP48" s="23" t="n">
        <f aca="false">IF(DP16=TRUE(),-DP26,DP44)</f>
        <v>7370625</v>
      </c>
      <c r="DQ48" s="23" t="n">
        <f aca="false">IF(DQ16=TRUE(),-DQ26,DQ44)</f>
        <v>7370625</v>
      </c>
      <c r="DR48" s="23" t="n">
        <f aca="false">IF(DR16=TRUE(),-DR26,DR44)</f>
        <v>7370625</v>
      </c>
      <c r="DS48" s="23" t="n">
        <f aca="false">IF(DS16=TRUE(),-DS26,DS44)</f>
        <v>7370625</v>
      </c>
      <c r="DT48" s="23" t="n">
        <f aca="false">IF(DT16=TRUE(),-DT26,DT44)</f>
        <v>7370625</v>
      </c>
      <c r="DU48" s="23" t="n">
        <f aca="false">IF(DU16=TRUE(),-DU26,DU44)</f>
        <v>7370625</v>
      </c>
      <c r="DV48" s="23" t="n">
        <f aca="false">IF(DV16=TRUE(),-DV26,DV44)</f>
        <v>7370625</v>
      </c>
      <c r="DW48" s="23" t="n">
        <f aca="false">IF(DW16=TRUE(),-DW26,DW44)</f>
        <v>7370625</v>
      </c>
      <c r="DX48" s="23" t="n">
        <f aca="false">IF(DX16=TRUE(),-DX26,DX44)</f>
        <v>7370625</v>
      </c>
      <c r="DY48" s="23" t="n">
        <f aca="false">IF(DY16=TRUE(),-DY26,DY44)</f>
        <v>7370625</v>
      </c>
      <c r="DZ48" s="23" t="n">
        <f aca="false">IF(DZ16=TRUE(),-DZ26,DZ44)</f>
        <v>7370625</v>
      </c>
      <c r="EA48" s="23" t="n">
        <f aca="false">IF(EA16=TRUE(),-EA26,EA44)</f>
        <v>7370625</v>
      </c>
      <c r="EB48" s="23" t="n">
        <f aca="false">IF(EB16=TRUE(),-EB26,EB44)</f>
        <v>0</v>
      </c>
      <c r="EC48" s="23" t="n">
        <f aca="false">IF(EC16=TRUE(),-EC26,EC44)</f>
        <v>0</v>
      </c>
      <c r="ED48" s="23" t="n">
        <f aca="false">IF(ED16=TRUE(),-ED26,ED44)</f>
        <v>0</v>
      </c>
      <c r="EE48" s="23" t="n">
        <f aca="false">IF(EE16=TRUE(),-EE26,EE44)</f>
        <v>0</v>
      </c>
      <c r="EF48" s="23" t="n">
        <f aca="false">IF(EF16=TRUE(),-EF26,EF44)</f>
        <v>0</v>
      </c>
      <c r="EG48" s="23" t="n">
        <f aca="false">IF(EG16=TRUE(),-EG26,EG44)</f>
        <v>0</v>
      </c>
      <c r="EH48" s="23" t="n">
        <f aca="false">IF(EH16=TRUE(),-EH26,EH44)</f>
        <v>0</v>
      </c>
      <c r="EI48" s="23" t="n">
        <f aca="false">IF(EI16=TRUE(),-EI26,EI44)</f>
        <v>0</v>
      </c>
      <c r="EJ48" s="23" t="n">
        <f aca="false">IF(EJ16=TRUE(),-EJ26,EJ44)</f>
        <v>0</v>
      </c>
      <c r="EK48" s="23" t="n">
        <f aca="false">IF(EK16=TRUE(),-EK26,EK44)</f>
        <v>0</v>
      </c>
      <c r="EL48" s="23" t="n">
        <f aca="false">IF(EL16=TRUE(),-EL26,EL44)</f>
        <v>0</v>
      </c>
      <c r="EM48" s="23" t="n">
        <f aca="false">IF(EM16=TRUE(),-EM26,EM44)</f>
        <v>0</v>
      </c>
      <c r="EN48" s="23" t="n">
        <f aca="false">IF(EN16=TRUE(),-EN26,EN44)</f>
        <v>0</v>
      </c>
      <c r="EO48" s="23" t="n">
        <f aca="false">IF(EO16=TRUE(),-EO26,EO44)</f>
        <v>0</v>
      </c>
      <c r="EP48" s="23" t="n">
        <f aca="false">IF(EP16=TRUE(),-EP26,EP44)</f>
        <v>0</v>
      </c>
      <c r="EQ48" s="23" t="n">
        <f aca="false">IF(EQ16=TRUE(),-EQ26,EQ44)</f>
        <v>0</v>
      </c>
      <c r="ER48" s="23" t="n">
        <f aca="false">IF(ER16=TRUE(),-ER26,ER44)</f>
        <v>0</v>
      </c>
      <c r="ES48" s="23" t="n">
        <f aca="false">IF(ES16=TRUE(),-ES26,ES44)</f>
        <v>0</v>
      </c>
      <c r="ET48" s="23" t="n">
        <f aca="false">IF(ET16=TRUE(),-ET26,ET44)</f>
        <v>0</v>
      </c>
      <c r="EU48" s="23" t="n">
        <f aca="false">IF(EU16=TRUE(),-EU26,EU44)</f>
        <v>0</v>
      </c>
      <c r="EV48" s="23" t="n">
        <f aca="false">IF(EV16=TRUE(),-EV26,EV44)</f>
        <v>0</v>
      </c>
      <c r="EW48" s="23" t="n">
        <f aca="false">IF(EW16=TRUE(),-EW26,EW44)</f>
        <v>0</v>
      </c>
      <c r="EX48" s="23" t="n">
        <f aca="false">IF(EX16=TRUE(),-EX26,EX44)</f>
        <v>0</v>
      </c>
      <c r="EY48" s="23" t="n">
        <f aca="false">IF(EY16=TRUE(),-EY26,EY44)</f>
        <v>0</v>
      </c>
      <c r="EZ48" s="23" t="n">
        <f aca="false">IF(EZ16=TRUE(),-EZ26,EZ44)</f>
        <v>0</v>
      </c>
      <c r="FA48" s="23" t="n">
        <f aca="false">IF(FA16=TRUE(),-FA26,FA44)</f>
        <v>0</v>
      </c>
      <c r="FB48" s="23" t="n">
        <f aca="false">IF(FB16=TRUE(),-FB26,FB44)</f>
        <v>0</v>
      </c>
      <c r="FC48" s="23" t="n">
        <f aca="false">IF(FC16=TRUE(),-FC26,FC44)</f>
        <v>0</v>
      </c>
      <c r="FD48" s="23" t="n">
        <f aca="false">IF(FD16=TRUE(),-FD26,FD44)</f>
        <v>0</v>
      </c>
      <c r="FE48" s="23" t="n">
        <f aca="false">IF(FE16=TRUE(),-FE26,FE44)</f>
        <v>0</v>
      </c>
      <c r="FF48" s="23" t="n">
        <f aca="false">IF(FF16=TRUE(),-FF26,FF44)</f>
        <v>0</v>
      </c>
      <c r="FG48" s="23" t="n">
        <f aca="false">IF(FG16=TRUE(),-FG26,FG44)</f>
        <v>0</v>
      </c>
      <c r="FH48" s="23" t="n">
        <f aca="false">IF(FH16=TRUE(),-FH26,FH44)</f>
        <v>0</v>
      </c>
      <c r="FI48" s="23" t="n">
        <f aca="false">IF(FI16=TRUE(),-FI26,FI44)</f>
        <v>0</v>
      </c>
      <c r="FJ48" s="23" t="n">
        <f aca="false">IF(FJ16=TRUE(),-FJ26,FJ44)</f>
        <v>0</v>
      </c>
      <c r="FK48" s="23" t="n">
        <f aca="false">IF(FK16=TRUE(),-FK26,FK44)</f>
        <v>0</v>
      </c>
    </row>
    <row r="49" customFormat="false" ht="15" hidden="false" customHeight="true" outlineLevel="0" collapsed="false">
      <c r="D49" s="21" t="s">
        <v>95</v>
      </c>
      <c r="E49" s="7" t="s">
        <v>28</v>
      </c>
      <c r="H49" s="23" t="n">
        <f aca="false">SUM($H$48:H48)</f>
        <v>-45000000</v>
      </c>
      <c r="I49" s="23" t="n">
        <f aca="false">SUM($H$48:I48)</f>
        <v>-90000000</v>
      </c>
      <c r="J49" s="23" t="n">
        <f aca="false">SUM($H$48:J48)</f>
        <v>-135000000</v>
      </c>
      <c r="K49" s="23" t="n">
        <f aca="false">SUM($H$48:K48)</f>
        <v>-180000000</v>
      </c>
      <c r="L49" s="23" t="n">
        <f aca="false">SUM($H$48:L48)</f>
        <v>-180747500</v>
      </c>
      <c r="M49" s="23" t="n">
        <f aca="false">SUM($H$48:M48)</f>
        <v>-181393750</v>
      </c>
      <c r="N49" s="23" t="n">
        <f aca="false">SUM($H$48:N48)</f>
        <v>-181938750</v>
      </c>
      <c r="O49" s="23" t="n">
        <f aca="false">SUM($H$48:O48)</f>
        <v>-182382500</v>
      </c>
      <c r="P49" s="23" t="n">
        <f aca="false">SUM($H$48:P48)</f>
        <v>-182725000</v>
      </c>
      <c r="Q49" s="23" t="n">
        <f aca="false">SUM($H$48:Q48)</f>
        <v>-182966250</v>
      </c>
      <c r="R49" s="23" t="n">
        <f aca="false">SUM($H$48:R48)</f>
        <v>-183106250</v>
      </c>
      <c r="S49" s="23" t="n">
        <f aca="false">SUM($H$48:S48)</f>
        <v>-183145000</v>
      </c>
      <c r="T49" s="23" t="n">
        <f aca="false">SUM($H$48:T48)</f>
        <v>-183082500</v>
      </c>
      <c r="U49" s="23" t="n">
        <f aca="false">SUM($H$48:U48)</f>
        <v>-182918750</v>
      </c>
      <c r="V49" s="23" t="n">
        <f aca="false">SUM($H$48:V48)</f>
        <v>-182653750</v>
      </c>
      <c r="W49" s="23" t="n">
        <f aca="false">SUM($H$48:W48)</f>
        <v>-182287500</v>
      </c>
      <c r="X49" s="23" t="n">
        <f aca="false">SUM($H$48:X48)</f>
        <v>-181820000</v>
      </c>
      <c r="Y49" s="23" t="n">
        <f aca="false">SUM($H$48:Y48)</f>
        <v>-181251250</v>
      </c>
      <c r="Z49" s="23" t="n">
        <f aca="false">SUM($H$48:Z48)</f>
        <v>-180581250</v>
      </c>
      <c r="AA49" s="23" t="n">
        <f aca="false">SUM($H$48:AA48)</f>
        <v>-179810000</v>
      </c>
      <c r="AB49" s="23" t="n">
        <f aca="false">SUM($H$48:AB48)</f>
        <v>-178937500</v>
      </c>
      <c r="AC49" s="23" t="n">
        <f aca="false">SUM($H$48:AC48)</f>
        <v>-177963750</v>
      </c>
      <c r="AD49" s="23" t="n">
        <f aca="false">SUM($H$48:AD48)</f>
        <v>-176888750</v>
      </c>
      <c r="AE49" s="23" t="n">
        <f aca="false">SUM($H$48:AE48)</f>
        <v>-175712500</v>
      </c>
      <c r="AF49" s="23" t="n">
        <f aca="false">SUM($H$48:AF48)</f>
        <v>-174435000</v>
      </c>
      <c r="AG49" s="23" t="n">
        <f aca="false">SUM($H$48:AG48)</f>
        <v>-173056250</v>
      </c>
      <c r="AH49" s="23" t="n">
        <f aca="false">SUM($H$48:AH48)</f>
        <v>-171576250</v>
      </c>
      <c r="AI49" s="23" t="n">
        <f aca="false">SUM($H$48:AI48)</f>
        <v>-170218125</v>
      </c>
      <c r="AJ49" s="23" t="n">
        <f aca="false">SUM($H$48:AJ48)</f>
        <v>-168956250</v>
      </c>
      <c r="AK49" s="23" t="n">
        <f aca="false">SUM($H$48:AK48)</f>
        <v>-167618437.5</v>
      </c>
      <c r="AL49" s="23" t="n">
        <f aca="false">SUM($H$48:AL48)</f>
        <v>-166204687.5</v>
      </c>
      <c r="AM49" s="23" t="n">
        <f aca="false">SUM($H$48:AM48)</f>
        <v>-164715000</v>
      </c>
      <c r="AN49" s="23" t="n">
        <f aca="false">SUM($H$48:AN48)</f>
        <v>-163149375</v>
      </c>
      <c r="AO49" s="23" t="n">
        <f aca="false">SUM($H$48:AO48)</f>
        <v>-161507812.5</v>
      </c>
      <c r="AP49" s="23" t="n">
        <f aca="false">SUM($H$48:AP48)</f>
        <v>-159790312.5</v>
      </c>
      <c r="AQ49" s="23" t="n">
        <f aca="false">SUM($H$48:AQ48)</f>
        <v>-157996875</v>
      </c>
      <c r="AR49" s="23" t="n">
        <f aca="false">SUM($H$48:AR48)</f>
        <v>-156127500</v>
      </c>
      <c r="AS49" s="23" t="n">
        <f aca="false">SUM($H$48:AS48)</f>
        <v>-154182187.5</v>
      </c>
      <c r="AT49" s="23" t="n">
        <f aca="false">SUM($H$48:AT48)</f>
        <v>-152160937.5</v>
      </c>
      <c r="AU49" s="23" t="n">
        <f aca="false">SUM($H$48:AU48)</f>
        <v>-150063750</v>
      </c>
      <c r="AV49" s="23" t="n">
        <f aca="false">SUM($H$48:AV48)</f>
        <v>-147890625</v>
      </c>
      <c r="AW49" s="23" t="n">
        <f aca="false">SUM($H$48:AW48)</f>
        <v>-145641562.5</v>
      </c>
      <c r="AX49" s="23" t="n">
        <f aca="false">SUM($H$48:AX48)</f>
        <v>-143316562.5</v>
      </c>
      <c r="AY49" s="23" t="n">
        <f aca="false">SUM($H$48:AY48)</f>
        <v>-140915625</v>
      </c>
      <c r="AZ49" s="23" t="n">
        <f aca="false">SUM($H$48:AZ48)</f>
        <v>-138438750</v>
      </c>
      <c r="BA49" s="23" t="n">
        <f aca="false">SUM($H$48:BA48)</f>
        <v>-135885937.5</v>
      </c>
      <c r="BB49" s="23" t="n">
        <f aca="false">SUM($H$48:BB48)</f>
        <v>-133257187.5</v>
      </c>
      <c r="BC49" s="23" t="n">
        <f aca="false">SUM($H$48:BC48)</f>
        <v>-130552500</v>
      </c>
      <c r="BD49" s="23" t="n">
        <f aca="false">SUM($H$48:BD48)</f>
        <v>-127771875</v>
      </c>
      <c r="BE49" s="23" t="n">
        <f aca="false">SUM($H$48:BE48)</f>
        <v>-124915312.5</v>
      </c>
      <c r="BF49" s="23" t="n">
        <f aca="false">SUM($H$48:BF48)</f>
        <v>-121982812.5</v>
      </c>
      <c r="BG49" s="23" t="n">
        <f aca="false">SUM($H$48:BG48)</f>
        <v>-118974375</v>
      </c>
      <c r="BH49" s="23" t="n">
        <f aca="false">SUM($H$48:BH48)</f>
        <v>-115890000</v>
      </c>
      <c r="BI49" s="23" t="n">
        <f aca="false">SUM($H$48:BI48)</f>
        <v>-112729687.5</v>
      </c>
      <c r="BJ49" s="23" t="n">
        <f aca="false">SUM($H$48:BJ48)</f>
        <v>-109493437.5</v>
      </c>
      <c r="BK49" s="23" t="n">
        <f aca="false">SUM($H$48:BK48)</f>
        <v>-106181250</v>
      </c>
      <c r="BL49" s="23" t="n">
        <f aca="false">SUM($H$48:BL48)</f>
        <v>-102793125</v>
      </c>
      <c r="BM49" s="23" t="n">
        <f aca="false">SUM($H$48:BM48)</f>
        <v>-99329062.5</v>
      </c>
      <c r="BN49" s="23" t="n">
        <f aca="false">SUM($H$48:BN48)</f>
        <v>-95789062.5</v>
      </c>
      <c r="BO49" s="23" t="n">
        <f aca="false">SUM($H$48:BO48)</f>
        <v>-92173125</v>
      </c>
      <c r="BP49" s="23" t="n">
        <f aca="false">SUM($H$48:BP48)</f>
        <v>-88481250</v>
      </c>
      <c r="BQ49" s="23" t="n">
        <f aca="false">SUM($H$48:BQ48)</f>
        <v>-84713437.5</v>
      </c>
      <c r="BR49" s="23" t="n">
        <f aca="false">SUM($H$48:BR48)</f>
        <v>-80869687.5</v>
      </c>
      <c r="BS49" s="23" t="n">
        <f aca="false">SUM($H$48:BS48)</f>
        <v>-76950000</v>
      </c>
      <c r="BT49" s="23" t="n">
        <f aca="false">SUM($H$48:BT48)</f>
        <v>-68454375</v>
      </c>
      <c r="BU49" s="23" t="n">
        <f aca="false">SUM($H$48:BU48)</f>
        <v>-59958750</v>
      </c>
      <c r="BV49" s="23" t="n">
        <f aca="false">SUM($H$48:BV48)</f>
        <v>-51463125</v>
      </c>
      <c r="BW49" s="23" t="n">
        <f aca="false">SUM($H$48:BW48)</f>
        <v>-42967500</v>
      </c>
      <c r="BX49" s="23" t="n">
        <f aca="false">SUM($H$48:BX48)</f>
        <v>-34471875</v>
      </c>
      <c r="BY49" s="23" t="n">
        <f aca="false">SUM($H$48:BY48)</f>
        <v>-25976250</v>
      </c>
      <c r="BZ49" s="23" t="n">
        <f aca="false">SUM($H$48:BZ48)</f>
        <v>-17480625</v>
      </c>
      <c r="CA49" s="23" t="n">
        <f aca="false">SUM($H$48:CA48)</f>
        <v>-8985000</v>
      </c>
      <c r="CB49" s="23" t="n">
        <f aca="false">SUM($H$48:CB48)</f>
        <v>-489375</v>
      </c>
      <c r="CC49" s="23" t="n">
        <f aca="false">SUM($H$48:CC48)</f>
        <v>8006250</v>
      </c>
      <c r="CD49" s="23" t="n">
        <f aca="false">SUM($H$48:CD48)</f>
        <v>16501875</v>
      </c>
      <c r="CE49" s="23" t="n">
        <f aca="false">SUM($H$48:CE48)</f>
        <v>24997500</v>
      </c>
      <c r="CF49" s="23" t="n">
        <f aca="false">SUM($H$48:CF48)</f>
        <v>33493125</v>
      </c>
      <c r="CG49" s="23" t="n">
        <f aca="false">SUM($H$48:CG48)</f>
        <v>41988750</v>
      </c>
      <c r="CH49" s="23" t="n">
        <f aca="false">SUM($H$48:CH48)</f>
        <v>50484375</v>
      </c>
      <c r="CI49" s="23" t="n">
        <f aca="false">SUM($H$48:CI48)</f>
        <v>58980000</v>
      </c>
      <c r="CJ49" s="23" t="n">
        <f aca="false">SUM($H$48:CJ48)</f>
        <v>67475625</v>
      </c>
      <c r="CK49" s="23" t="n">
        <f aca="false">SUM($H$48:CK48)</f>
        <v>75971250</v>
      </c>
      <c r="CL49" s="23" t="n">
        <f aca="false">SUM($H$48:CL48)</f>
        <v>84466875</v>
      </c>
      <c r="CM49" s="23" t="n">
        <f aca="false">SUM($H$48:CM48)</f>
        <v>92962500</v>
      </c>
      <c r="CN49" s="23" t="n">
        <f aca="false">SUM($H$48:CN48)</f>
        <v>101458125</v>
      </c>
      <c r="CO49" s="23" t="n">
        <f aca="false">SUM($H$48:CO48)</f>
        <v>109953750</v>
      </c>
      <c r="CP49" s="23" t="n">
        <f aca="false">SUM($H$48:CP48)</f>
        <v>118449375</v>
      </c>
      <c r="CQ49" s="23" t="n">
        <f aca="false">SUM($H$48:CQ48)</f>
        <v>126945000</v>
      </c>
      <c r="CR49" s="23" t="n">
        <f aca="false">SUM($H$48:CR48)</f>
        <v>135440625</v>
      </c>
      <c r="CS49" s="23" t="n">
        <f aca="false">SUM($H$48:CS48)</f>
        <v>143936250</v>
      </c>
      <c r="CT49" s="23" t="n">
        <f aca="false">SUM($H$48:CT48)</f>
        <v>152431875</v>
      </c>
      <c r="CU49" s="23" t="n">
        <f aca="false">SUM($H$48:CU48)</f>
        <v>160927500</v>
      </c>
      <c r="CV49" s="23" t="n">
        <f aca="false">SUM($H$48:CV48)</f>
        <v>169423125</v>
      </c>
      <c r="CW49" s="23" t="n">
        <f aca="false">SUM($H$48:CW48)</f>
        <v>177918750</v>
      </c>
      <c r="CX49" s="23" t="n">
        <f aca="false">SUM($H$48:CX48)</f>
        <v>186414375</v>
      </c>
      <c r="CY49" s="23" t="n">
        <f aca="false">SUM($H$48:CY48)</f>
        <v>194910000</v>
      </c>
      <c r="CZ49" s="23" t="n">
        <f aca="false">SUM($H$48:CZ48)</f>
        <v>203405625</v>
      </c>
      <c r="DA49" s="23" t="n">
        <f aca="false">SUM($H$48:DA48)</f>
        <v>211901250</v>
      </c>
      <c r="DB49" s="23" t="n">
        <f aca="false">SUM($H$48:DB48)</f>
        <v>220396875</v>
      </c>
      <c r="DC49" s="23" t="n">
        <f aca="false">SUM($H$48:DC48)</f>
        <v>228892500</v>
      </c>
      <c r="DD49" s="23" t="n">
        <f aca="false">SUM($H$48:DD48)</f>
        <v>237388125</v>
      </c>
      <c r="DE49" s="23" t="n">
        <f aca="false">SUM($H$48:DE48)</f>
        <v>245883750</v>
      </c>
      <c r="DF49" s="23" t="n">
        <f aca="false">SUM($H$48:DF48)</f>
        <v>254379375</v>
      </c>
      <c r="DG49" s="23" t="n">
        <f aca="false">SUM($H$48:DG48)</f>
        <v>262875000</v>
      </c>
      <c r="DH49" s="23" t="n">
        <f aca="false">SUM($H$48:DH48)</f>
        <v>270245625</v>
      </c>
      <c r="DI49" s="23" t="n">
        <f aca="false">SUM($H$48:DI48)</f>
        <v>277616250</v>
      </c>
      <c r="DJ49" s="23" t="n">
        <f aca="false">SUM($H$48:DJ48)</f>
        <v>284986875</v>
      </c>
      <c r="DK49" s="23" t="n">
        <f aca="false">SUM($H$48:DK48)</f>
        <v>292357500</v>
      </c>
      <c r="DL49" s="23" t="n">
        <f aca="false">SUM($H$48:DL48)</f>
        <v>299728125</v>
      </c>
      <c r="DM49" s="23" t="n">
        <f aca="false">SUM($H$48:DM48)</f>
        <v>307098750</v>
      </c>
      <c r="DN49" s="23" t="n">
        <f aca="false">SUM($H$48:DN48)</f>
        <v>314469375</v>
      </c>
      <c r="DO49" s="23" t="n">
        <f aca="false">SUM($H$48:DO48)</f>
        <v>321840000</v>
      </c>
      <c r="DP49" s="23" t="n">
        <f aca="false">SUM($H$48:DP48)</f>
        <v>329210625</v>
      </c>
      <c r="DQ49" s="23" t="n">
        <f aca="false">SUM($H$48:DQ48)</f>
        <v>336581250</v>
      </c>
      <c r="DR49" s="23" t="n">
        <f aca="false">SUM($H$48:DR48)</f>
        <v>343951875</v>
      </c>
      <c r="DS49" s="23" t="n">
        <f aca="false">SUM($H$48:DS48)</f>
        <v>351322500</v>
      </c>
      <c r="DT49" s="23" t="n">
        <f aca="false">SUM($H$48:DT48)</f>
        <v>358693125</v>
      </c>
      <c r="DU49" s="23" t="n">
        <f aca="false">SUM($H$48:DU48)</f>
        <v>366063750</v>
      </c>
      <c r="DV49" s="23" t="n">
        <f aca="false">SUM($H$48:DV48)</f>
        <v>373434375</v>
      </c>
      <c r="DW49" s="23" t="n">
        <f aca="false">SUM($H$48:DW48)</f>
        <v>380805000</v>
      </c>
      <c r="DX49" s="23" t="n">
        <f aca="false">SUM($H$48:DX48)</f>
        <v>388175625</v>
      </c>
      <c r="DY49" s="23" t="n">
        <f aca="false">SUM($H$48:DY48)</f>
        <v>395546250</v>
      </c>
      <c r="DZ49" s="23" t="n">
        <f aca="false">SUM($H$48:DZ48)</f>
        <v>402916875</v>
      </c>
      <c r="EA49" s="23" t="n">
        <f aca="false">SUM($H$48:EA48)</f>
        <v>410287500</v>
      </c>
      <c r="EB49" s="23" t="n">
        <f aca="false">SUM($H$48:EB48)</f>
        <v>410287500</v>
      </c>
      <c r="EC49" s="23" t="n">
        <f aca="false">SUM($H$48:EC48)</f>
        <v>410287500</v>
      </c>
      <c r="ED49" s="23" t="n">
        <f aca="false">SUM($H$48:ED48)</f>
        <v>410287500</v>
      </c>
      <c r="EE49" s="23" t="n">
        <f aca="false">SUM($H$48:EE48)</f>
        <v>410287500</v>
      </c>
      <c r="EF49" s="23" t="n">
        <f aca="false">SUM($H$48:EF48)</f>
        <v>410287500</v>
      </c>
      <c r="EG49" s="23" t="n">
        <f aca="false">SUM($H$48:EG48)</f>
        <v>410287500</v>
      </c>
      <c r="EH49" s="23" t="n">
        <f aca="false">SUM($H$48:EH48)</f>
        <v>410287500</v>
      </c>
      <c r="EI49" s="23" t="n">
        <f aca="false">SUM($H$48:EI48)</f>
        <v>410287500</v>
      </c>
      <c r="EJ49" s="23" t="n">
        <f aca="false">SUM($H$48:EJ48)</f>
        <v>410287500</v>
      </c>
      <c r="EK49" s="23" t="n">
        <f aca="false">SUM($H$48:EK48)</f>
        <v>410287500</v>
      </c>
      <c r="EL49" s="23" t="n">
        <f aca="false">SUM($H$48:EL48)</f>
        <v>410287500</v>
      </c>
      <c r="EM49" s="23" t="n">
        <f aca="false">SUM($H$48:EM48)</f>
        <v>410287500</v>
      </c>
      <c r="EN49" s="23" t="n">
        <f aca="false">SUM($H$48:EN48)</f>
        <v>410287500</v>
      </c>
      <c r="EO49" s="23" t="n">
        <f aca="false">SUM($H$48:EO48)</f>
        <v>410287500</v>
      </c>
      <c r="EP49" s="23" t="n">
        <f aca="false">SUM($H$48:EP48)</f>
        <v>410287500</v>
      </c>
      <c r="EQ49" s="23" t="n">
        <f aca="false">SUM($H$48:EQ48)</f>
        <v>410287500</v>
      </c>
      <c r="ER49" s="23" t="n">
        <f aca="false">SUM($H$48:ER48)</f>
        <v>410287500</v>
      </c>
      <c r="ES49" s="23" t="n">
        <f aca="false">SUM($H$48:ES48)</f>
        <v>410287500</v>
      </c>
      <c r="ET49" s="23" t="n">
        <f aca="false">SUM($H$48:ET48)</f>
        <v>410287500</v>
      </c>
      <c r="EU49" s="23" t="n">
        <f aca="false">SUM($H$48:EU48)</f>
        <v>410287500</v>
      </c>
      <c r="EV49" s="23" t="n">
        <f aca="false">SUM($H$48:EV48)</f>
        <v>410287500</v>
      </c>
      <c r="EW49" s="23" t="n">
        <f aca="false">SUM($H$48:EW48)</f>
        <v>410287500</v>
      </c>
      <c r="EX49" s="23" t="n">
        <f aca="false">SUM($H$48:EX48)</f>
        <v>410287500</v>
      </c>
      <c r="EY49" s="23" t="n">
        <f aca="false">SUM($H$48:EY48)</f>
        <v>410287500</v>
      </c>
      <c r="EZ49" s="23" t="n">
        <f aca="false">SUM($H$48:EZ48)</f>
        <v>410287500</v>
      </c>
      <c r="FA49" s="23" t="n">
        <f aca="false">SUM($H$48:FA48)</f>
        <v>410287500</v>
      </c>
      <c r="FB49" s="23" t="n">
        <f aca="false">SUM($H$48:FB48)</f>
        <v>410287500</v>
      </c>
      <c r="FC49" s="23" t="n">
        <f aca="false">SUM($H$48:FC48)</f>
        <v>410287500</v>
      </c>
      <c r="FD49" s="23" t="n">
        <f aca="false">SUM($H$48:FD48)</f>
        <v>410287500</v>
      </c>
      <c r="FE49" s="23" t="n">
        <f aca="false">SUM($H$48:FE48)</f>
        <v>410287500</v>
      </c>
      <c r="FF49" s="23" t="n">
        <f aca="false">SUM($H$48:FF48)</f>
        <v>410287500</v>
      </c>
      <c r="FG49" s="23" t="n">
        <f aca="false">SUM($H$48:FG48)</f>
        <v>410287500</v>
      </c>
      <c r="FH49" s="23" t="n">
        <f aca="false">SUM($H$48:FH48)</f>
        <v>410287500</v>
      </c>
      <c r="FI49" s="23" t="n">
        <f aca="false">SUM($H$48:FI48)</f>
        <v>410287500</v>
      </c>
      <c r="FJ49" s="23" t="n">
        <f aca="false">SUM($H$48:FJ48)</f>
        <v>410287500</v>
      </c>
      <c r="FK49" s="23" t="n">
        <f aca="false">SUM($H$48:FK48)</f>
        <v>410287500</v>
      </c>
    </row>
    <row r="51" customFormat="false" ht="15" hidden="false" customHeight="true" outlineLevel="0" collapsed="false">
      <c r="D51" s="3" t="s">
        <v>96</v>
      </c>
    </row>
    <row r="53" customFormat="false" ht="15" hidden="false" customHeight="true" outlineLevel="0" collapsed="false">
      <c r="D53" s="20" t="s">
        <v>97</v>
      </c>
    </row>
    <row r="54" customFormat="false" ht="15" hidden="false" customHeight="true" outlineLevel="0" collapsed="false">
      <c r="D54" s="21" t="s">
        <v>98</v>
      </c>
      <c r="E54" s="7" t="s">
        <v>99</v>
      </c>
      <c r="H54" s="25" t="b">
        <f aca="false">IF(AND(H17=TRUE(),COUNTIF($H$17:H17,TRUE())&lt;=DebtTenorYears*4),TRUE(),FALSE())</f>
        <v>0</v>
      </c>
      <c r="I54" s="25" t="b">
        <f aca="false">IF(AND(I17=TRUE(),COUNTIF($H$17:I17,TRUE())&lt;=DebtTenorYears*4),TRUE(),FALSE())</f>
        <v>0</v>
      </c>
      <c r="J54" s="25" t="b">
        <f aca="false">IF(AND(J17=TRUE(),COUNTIF($H$17:J17,TRUE())&lt;=DebtTenorYears*4),TRUE(),FALSE())</f>
        <v>0</v>
      </c>
      <c r="K54" s="25" t="b">
        <f aca="false">IF(AND(K17=TRUE(),COUNTIF($H$17:K17,TRUE())&lt;=DebtTenorYears*4),TRUE(),FALSE())</f>
        <v>0</v>
      </c>
      <c r="L54" s="25" t="b">
        <f aca="false">IF(AND(L17=TRUE(),COUNTIF($H$17:L17,TRUE())&lt;=DebtTenorYears*4),TRUE(),FALSE())</f>
        <v>1</v>
      </c>
      <c r="M54" s="25" t="b">
        <f aca="false">IF(AND(M17=TRUE(),COUNTIF($H$17:M17,TRUE())&lt;=DebtTenorYears*4),TRUE(),FALSE())</f>
        <v>1</v>
      </c>
      <c r="N54" s="25" t="b">
        <f aca="false">IF(AND(N17=TRUE(),COUNTIF($H$17:N17,TRUE())&lt;=DebtTenorYears*4),TRUE(),FALSE())</f>
        <v>1</v>
      </c>
      <c r="O54" s="25" t="b">
        <f aca="false">IF(AND(O17=TRUE(),COUNTIF($H$17:O17,TRUE())&lt;=DebtTenorYears*4),TRUE(),FALSE())</f>
        <v>1</v>
      </c>
      <c r="P54" s="25" t="b">
        <f aca="false">IF(AND(P17=TRUE(),COUNTIF($H$17:P17,TRUE())&lt;=DebtTenorYears*4),TRUE(),FALSE())</f>
        <v>1</v>
      </c>
      <c r="Q54" s="25" t="b">
        <f aca="false">IF(AND(Q17=TRUE(),COUNTIF($H$17:Q17,TRUE())&lt;=DebtTenorYears*4),TRUE(),FALSE())</f>
        <v>1</v>
      </c>
      <c r="R54" s="25" t="b">
        <f aca="false">IF(AND(R17=TRUE(),COUNTIF($H$17:R17,TRUE())&lt;=DebtTenorYears*4),TRUE(),FALSE())</f>
        <v>1</v>
      </c>
      <c r="S54" s="25" t="b">
        <f aca="false">IF(AND(S17=TRUE(),COUNTIF($H$17:S17,TRUE())&lt;=DebtTenorYears*4),TRUE(),FALSE())</f>
        <v>1</v>
      </c>
      <c r="T54" s="25" t="b">
        <f aca="false">IF(AND(T17=TRUE(),COUNTIF($H$17:T17,TRUE())&lt;=DebtTenorYears*4),TRUE(),FALSE())</f>
        <v>1</v>
      </c>
      <c r="U54" s="25" t="b">
        <f aca="false">IF(AND(U17=TRUE(),COUNTIF($H$17:U17,TRUE())&lt;=DebtTenorYears*4),TRUE(),FALSE())</f>
        <v>1</v>
      </c>
      <c r="V54" s="25" t="b">
        <f aca="false">IF(AND(V17=TRUE(),COUNTIF($H$17:V17,TRUE())&lt;=DebtTenorYears*4),TRUE(),FALSE())</f>
        <v>1</v>
      </c>
      <c r="W54" s="25" t="b">
        <f aca="false">IF(AND(W17=TRUE(),COUNTIF($H$17:W17,TRUE())&lt;=DebtTenorYears*4),TRUE(),FALSE())</f>
        <v>1</v>
      </c>
      <c r="X54" s="25" t="b">
        <f aca="false">IF(AND(X17=TRUE(),COUNTIF($H$17:X17,TRUE())&lt;=DebtTenorYears*4),TRUE(),FALSE())</f>
        <v>1</v>
      </c>
      <c r="Y54" s="25" t="b">
        <f aca="false">IF(AND(Y17=TRUE(),COUNTIF($H$17:Y17,TRUE())&lt;=DebtTenorYears*4),TRUE(),FALSE())</f>
        <v>1</v>
      </c>
      <c r="Z54" s="25" t="b">
        <f aca="false">IF(AND(Z17=TRUE(),COUNTIF($H$17:Z17,TRUE())&lt;=DebtTenorYears*4),TRUE(),FALSE())</f>
        <v>1</v>
      </c>
      <c r="AA54" s="25" t="b">
        <f aca="false">IF(AND(AA17=TRUE(),COUNTIF($H$17:AA17,TRUE())&lt;=DebtTenorYears*4),TRUE(),FALSE())</f>
        <v>1</v>
      </c>
      <c r="AB54" s="25" t="b">
        <f aca="false">IF(AND(AB17=TRUE(),COUNTIF($H$17:AB17,TRUE())&lt;=DebtTenorYears*4),TRUE(),FALSE())</f>
        <v>1</v>
      </c>
      <c r="AC54" s="25" t="b">
        <f aca="false">IF(AND(AC17=TRUE(),COUNTIF($H$17:AC17,TRUE())&lt;=DebtTenorYears*4),TRUE(),FALSE())</f>
        <v>1</v>
      </c>
      <c r="AD54" s="25" t="b">
        <f aca="false">IF(AND(AD17=TRUE(),COUNTIF($H$17:AD17,TRUE())&lt;=DebtTenorYears*4),TRUE(),FALSE())</f>
        <v>1</v>
      </c>
      <c r="AE54" s="25" t="b">
        <f aca="false">IF(AND(AE17=TRUE(),COUNTIF($H$17:AE17,TRUE())&lt;=DebtTenorYears*4),TRUE(),FALSE())</f>
        <v>1</v>
      </c>
      <c r="AF54" s="25" t="b">
        <f aca="false">IF(AND(AF17=TRUE(),COUNTIF($H$17:AF17,TRUE())&lt;=DebtTenorYears*4),TRUE(),FALSE())</f>
        <v>1</v>
      </c>
      <c r="AG54" s="25" t="b">
        <f aca="false">IF(AND(AG17=TRUE(),COUNTIF($H$17:AG17,TRUE())&lt;=DebtTenorYears*4),TRUE(),FALSE())</f>
        <v>1</v>
      </c>
      <c r="AH54" s="25" t="b">
        <f aca="false">IF(AND(AH17=TRUE(),COUNTIF($H$17:AH17,TRUE())&lt;=DebtTenorYears*4),TRUE(),FALSE())</f>
        <v>1</v>
      </c>
      <c r="AI54" s="25" t="b">
        <f aca="false">IF(AND(AI17=TRUE(),COUNTIF($H$17:AI17,TRUE())&lt;=DebtTenorYears*4),TRUE(),FALSE())</f>
        <v>1</v>
      </c>
      <c r="AJ54" s="25" t="b">
        <f aca="false">IF(AND(AJ17=TRUE(),COUNTIF($H$17:AJ17,TRUE())&lt;=DebtTenorYears*4),TRUE(),FALSE())</f>
        <v>1</v>
      </c>
      <c r="AK54" s="25" t="b">
        <f aca="false">IF(AND(AK17=TRUE(),COUNTIF($H$17:AK17,TRUE())&lt;=DebtTenorYears*4),TRUE(),FALSE())</f>
        <v>1</v>
      </c>
      <c r="AL54" s="25" t="b">
        <f aca="false">IF(AND(AL17=TRUE(),COUNTIF($H$17:AL17,TRUE())&lt;=DebtTenorYears*4),TRUE(),FALSE())</f>
        <v>1</v>
      </c>
      <c r="AM54" s="25" t="b">
        <f aca="false">IF(AND(AM17=TRUE(),COUNTIF($H$17:AM17,TRUE())&lt;=DebtTenorYears*4),TRUE(),FALSE())</f>
        <v>1</v>
      </c>
      <c r="AN54" s="25" t="b">
        <f aca="false">IF(AND(AN17=TRUE(),COUNTIF($H$17:AN17,TRUE())&lt;=DebtTenorYears*4),TRUE(),FALSE())</f>
        <v>1</v>
      </c>
      <c r="AO54" s="25" t="b">
        <f aca="false">IF(AND(AO17=TRUE(),COUNTIF($H$17:AO17,TRUE())&lt;=DebtTenorYears*4),TRUE(),FALSE())</f>
        <v>1</v>
      </c>
      <c r="AP54" s="25" t="b">
        <f aca="false">IF(AND(AP17=TRUE(),COUNTIF($H$17:AP17,TRUE())&lt;=DebtTenorYears*4),TRUE(),FALSE())</f>
        <v>1</v>
      </c>
      <c r="AQ54" s="25" t="b">
        <f aca="false">IF(AND(AQ17=TRUE(),COUNTIF($H$17:AQ17,TRUE())&lt;=DebtTenorYears*4),TRUE(),FALSE())</f>
        <v>1</v>
      </c>
      <c r="AR54" s="25" t="b">
        <f aca="false">IF(AND(AR17=TRUE(),COUNTIF($H$17:AR17,TRUE())&lt;=DebtTenorYears*4),TRUE(),FALSE())</f>
        <v>1</v>
      </c>
      <c r="AS54" s="25" t="b">
        <f aca="false">IF(AND(AS17=TRUE(),COUNTIF($H$17:AS17,TRUE())&lt;=DebtTenorYears*4),TRUE(),FALSE())</f>
        <v>1</v>
      </c>
      <c r="AT54" s="25" t="b">
        <f aca="false">IF(AND(AT17=TRUE(),COUNTIF($H$17:AT17,TRUE())&lt;=DebtTenorYears*4),TRUE(),FALSE())</f>
        <v>1</v>
      </c>
      <c r="AU54" s="25" t="b">
        <f aca="false">IF(AND(AU17=TRUE(),COUNTIF($H$17:AU17,TRUE())&lt;=DebtTenorYears*4),TRUE(),FALSE())</f>
        <v>1</v>
      </c>
      <c r="AV54" s="25" t="b">
        <f aca="false">IF(AND(AV17=TRUE(),COUNTIF($H$17:AV17,TRUE())&lt;=DebtTenorYears*4),TRUE(),FALSE())</f>
        <v>1</v>
      </c>
      <c r="AW54" s="25" t="b">
        <f aca="false">IF(AND(AW17=TRUE(),COUNTIF($H$17:AW17,TRUE())&lt;=DebtTenorYears*4),TRUE(),FALSE())</f>
        <v>1</v>
      </c>
      <c r="AX54" s="25" t="b">
        <f aca="false">IF(AND(AX17=TRUE(),COUNTIF($H$17:AX17,TRUE())&lt;=DebtTenorYears*4),TRUE(),FALSE())</f>
        <v>1</v>
      </c>
      <c r="AY54" s="25" t="b">
        <f aca="false">IF(AND(AY17=TRUE(),COUNTIF($H$17:AY17,TRUE())&lt;=DebtTenorYears*4),TRUE(),FALSE())</f>
        <v>1</v>
      </c>
      <c r="AZ54" s="25" t="b">
        <f aca="false">IF(AND(AZ17=TRUE(),COUNTIF($H$17:AZ17,TRUE())&lt;=DebtTenorYears*4),TRUE(),FALSE())</f>
        <v>1</v>
      </c>
      <c r="BA54" s="25" t="b">
        <f aca="false">IF(AND(BA17=TRUE(),COUNTIF($H$17:BA17,TRUE())&lt;=DebtTenorYears*4),TRUE(),FALSE())</f>
        <v>1</v>
      </c>
      <c r="BB54" s="25" t="b">
        <f aca="false">IF(AND(BB17=TRUE(),COUNTIF($H$17:BB17,TRUE())&lt;=DebtTenorYears*4),TRUE(),FALSE())</f>
        <v>1</v>
      </c>
      <c r="BC54" s="25" t="b">
        <f aca="false">IF(AND(BC17=TRUE(),COUNTIF($H$17:BC17,TRUE())&lt;=DebtTenorYears*4),TRUE(),FALSE())</f>
        <v>1</v>
      </c>
      <c r="BD54" s="25" t="b">
        <f aca="false">IF(AND(BD17=TRUE(),COUNTIF($H$17:BD17,TRUE())&lt;=DebtTenorYears*4),TRUE(),FALSE())</f>
        <v>1</v>
      </c>
      <c r="BE54" s="25" t="b">
        <f aca="false">IF(AND(BE17=TRUE(),COUNTIF($H$17:BE17,TRUE())&lt;=DebtTenorYears*4),TRUE(),FALSE())</f>
        <v>1</v>
      </c>
      <c r="BF54" s="25" t="b">
        <f aca="false">IF(AND(BF17=TRUE(),COUNTIF($H$17:BF17,TRUE())&lt;=DebtTenorYears*4),TRUE(),FALSE())</f>
        <v>1</v>
      </c>
      <c r="BG54" s="25" t="b">
        <f aca="false">IF(AND(BG17=TRUE(),COUNTIF($H$17:BG17,TRUE())&lt;=DebtTenorYears*4),TRUE(),FALSE())</f>
        <v>1</v>
      </c>
      <c r="BH54" s="25" t="b">
        <f aca="false">IF(AND(BH17=TRUE(),COUNTIF($H$17:BH17,TRUE())&lt;=DebtTenorYears*4),TRUE(),FALSE())</f>
        <v>1</v>
      </c>
      <c r="BI54" s="25" t="b">
        <f aca="false">IF(AND(BI17=TRUE(),COUNTIF($H$17:BI17,TRUE())&lt;=DebtTenorYears*4),TRUE(),FALSE())</f>
        <v>1</v>
      </c>
      <c r="BJ54" s="25" t="b">
        <f aca="false">IF(AND(BJ17=TRUE(),COUNTIF($H$17:BJ17,TRUE())&lt;=DebtTenorYears*4),TRUE(),FALSE())</f>
        <v>1</v>
      </c>
      <c r="BK54" s="25" t="b">
        <f aca="false">IF(AND(BK17=TRUE(),COUNTIF($H$17:BK17,TRUE())&lt;=DebtTenorYears*4),TRUE(),FALSE())</f>
        <v>1</v>
      </c>
      <c r="BL54" s="25" t="b">
        <f aca="false">IF(AND(BL17=TRUE(),COUNTIF($H$17:BL17,TRUE())&lt;=DebtTenorYears*4),TRUE(),FALSE())</f>
        <v>1</v>
      </c>
      <c r="BM54" s="25" t="b">
        <f aca="false">IF(AND(BM17=TRUE(),COUNTIF($H$17:BM17,TRUE())&lt;=DebtTenorYears*4),TRUE(),FALSE())</f>
        <v>1</v>
      </c>
      <c r="BN54" s="25" t="b">
        <f aca="false">IF(AND(BN17=TRUE(),COUNTIF($H$17:BN17,TRUE())&lt;=DebtTenorYears*4),TRUE(),FALSE())</f>
        <v>1</v>
      </c>
      <c r="BO54" s="25" t="b">
        <f aca="false">IF(AND(BO17=TRUE(),COUNTIF($H$17:BO17,TRUE())&lt;=DebtTenorYears*4),TRUE(),FALSE())</f>
        <v>1</v>
      </c>
      <c r="BP54" s="25" t="b">
        <f aca="false">IF(AND(BP17=TRUE(),COUNTIF($H$17:BP17,TRUE())&lt;=DebtTenorYears*4),TRUE(),FALSE())</f>
        <v>1</v>
      </c>
      <c r="BQ54" s="25" t="b">
        <f aca="false">IF(AND(BQ17=TRUE(),COUNTIF($H$17:BQ17,TRUE())&lt;=DebtTenorYears*4),TRUE(),FALSE())</f>
        <v>1</v>
      </c>
      <c r="BR54" s="25" t="b">
        <f aca="false">IF(AND(BR17=TRUE(),COUNTIF($H$17:BR17,TRUE())&lt;=DebtTenorYears*4),TRUE(),FALSE())</f>
        <v>1</v>
      </c>
      <c r="BS54" s="25" t="b">
        <f aca="false">IF(AND(BS17=TRUE(),COUNTIF($H$17:BS17,TRUE())&lt;=DebtTenorYears*4),TRUE(),FALSE())</f>
        <v>1</v>
      </c>
      <c r="BT54" s="25" t="b">
        <f aca="false">IF(AND(BT17=TRUE(),COUNTIF($H$17:BT17,TRUE())&lt;=DebtTenorYears*4),TRUE(),FALSE())</f>
        <v>0</v>
      </c>
      <c r="BU54" s="25" t="b">
        <f aca="false">IF(AND(BU17=TRUE(),COUNTIF($H$17:BU17,TRUE())&lt;=DebtTenorYears*4),TRUE(),FALSE())</f>
        <v>0</v>
      </c>
      <c r="BV54" s="25" t="b">
        <f aca="false">IF(AND(BV17=TRUE(),COUNTIF($H$17:BV17,TRUE())&lt;=DebtTenorYears*4),TRUE(),FALSE())</f>
        <v>0</v>
      </c>
      <c r="BW54" s="25" t="b">
        <f aca="false">IF(AND(BW17=TRUE(),COUNTIF($H$17:BW17,TRUE())&lt;=DebtTenorYears*4),TRUE(),FALSE())</f>
        <v>0</v>
      </c>
      <c r="BX54" s="25" t="b">
        <f aca="false">IF(AND(BX17=TRUE(),COUNTIF($H$17:BX17,TRUE())&lt;=DebtTenorYears*4),TRUE(),FALSE())</f>
        <v>0</v>
      </c>
      <c r="BY54" s="25" t="b">
        <f aca="false">IF(AND(BY17=TRUE(),COUNTIF($H$17:BY17,TRUE())&lt;=DebtTenorYears*4),TRUE(),FALSE())</f>
        <v>0</v>
      </c>
      <c r="BZ54" s="25" t="b">
        <f aca="false">IF(AND(BZ17=TRUE(),COUNTIF($H$17:BZ17,TRUE())&lt;=DebtTenorYears*4),TRUE(),FALSE())</f>
        <v>0</v>
      </c>
      <c r="CA54" s="25" t="b">
        <f aca="false">IF(AND(CA17=TRUE(),COUNTIF($H$17:CA17,TRUE())&lt;=DebtTenorYears*4),TRUE(),FALSE())</f>
        <v>0</v>
      </c>
      <c r="CB54" s="25" t="b">
        <f aca="false">IF(AND(CB17=TRUE(),COUNTIF($H$17:CB17,TRUE())&lt;=DebtTenorYears*4),TRUE(),FALSE())</f>
        <v>0</v>
      </c>
      <c r="CC54" s="25" t="b">
        <f aca="false">IF(AND(CC17=TRUE(),COUNTIF($H$17:CC17,TRUE())&lt;=DebtTenorYears*4),TRUE(),FALSE())</f>
        <v>0</v>
      </c>
      <c r="CD54" s="25" t="b">
        <f aca="false">IF(AND(CD17=TRUE(),COUNTIF($H$17:CD17,TRUE())&lt;=DebtTenorYears*4),TRUE(),FALSE())</f>
        <v>0</v>
      </c>
      <c r="CE54" s="25" t="b">
        <f aca="false">IF(AND(CE17=TRUE(),COUNTIF($H$17:CE17,TRUE())&lt;=DebtTenorYears*4),TRUE(),FALSE())</f>
        <v>0</v>
      </c>
      <c r="CF54" s="25" t="b">
        <f aca="false">IF(AND(CF17=TRUE(),COUNTIF($H$17:CF17,TRUE())&lt;=DebtTenorYears*4),TRUE(),FALSE())</f>
        <v>0</v>
      </c>
      <c r="CG54" s="25" t="b">
        <f aca="false">IF(AND(CG17=TRUE(),COUNTIF($H$17:CG17,TRUE())&lt;=DebtTenorYears*4),TRUE(),FALSE())</f>
        <v>0</v>
      </c>
      <c r="CH54" s="25" t="b">
        <f aca="false">IF(AND(CH17=TRUE(),COUNTIF($H$17:CH17,TRUE())&lt;=DebtTenorYears*4),TRUE(),FALSE())</f>
        <v>0</v>
      </c>
      <c r="CI54" s="25" t="b">
        <f aca="false">IF(AND(CI17=TRUE(),COUNTIF($H$17:CI17,TRUE())&lt;=DebtTenorYears*4),TRUE(),FALSE())</f>
        <v>0</v>
      </c>
      <c r="CJ54" s="25" t="b">
        <f aca="false">IF(AND(CJ17=TRUE(),COUNTIF($H$17:CJ17,TRUE())&lt;=DebtTenorYears*4),TRUE(),FALSE())</f>
        <v>0</v>
      </c>
      <c r="CK54" s="25" t="b">
        <f aca="false">IF(AND(CK17=TRUE(),COUNTIF($H$17:CK17,TRUE())&lt;=DebtTenorYears*4),TRUE(),FALSE())</f>
        <v>0</v>
      </c>
      <c r="CL54" s="25" t="b">
        <f aca="false">IF(AND(CL17=TRUE(),COUNTIF($H$17:CL17,TRUE())&lt;=DebtTenorYears*4),TRUE(),FALSE())</f>
        <v>0</v>
      </c>
      <c r="CM54" s="25" t="b">
        <f aca="false">IF(AND(CM17=TRUE(),COUNTIF($H$17:CM17,TRUE())&lt;=DebtTenorYears*4),TRUE(),FALSE())</f>
        <v>0</v>
      </c>
      <c r="CN54" s="25" t="b">
        <f aca="false">IF(AND(CN17=TRUE(),COUNTIF($H$17:CN17,TRUE())&lt;=DebtTenorYears*4),TRUE(),FALSE())</f>
        <v>0</v>
      </c>
      <c r="CO54" s="25" t="b">
        <f aca="false">IF(AND(CO17=TRUE(),COUNTIF($H$17:CO17,TRUE())&lt;=DebtTenorYears*4),TRUE(),FALSE())</f>
        <v>0</v>
      </c>
      <c r="CP54" s="25" t="b">
        <f aca="false">IF(AND(CP17=TRUE(),COUNTIF($H$17:CP17,TRUE())&lt;=DebtTenorYears*4),TRUE(),FALSE())</f>
        <v>0</v>
      </c>
      <c r="CQ54" s="25" t="b">
        <f aca="false">IF(AND(CQ17=TRUE(),COUNTIF($H$17:CQ17,TRUE())&lt;=DebtTenorYears*4),TRUE(),FALSE())</f>
        <v>0</v>
      </c>
      <c r="CR54" s="25" t="b">
        <f aca="false">IF(AND(CR17=TRUE(),COUNTIF($H$17:CR17,TRUE())&lt;=DebtTenorYears*4),TRUE(),FALSE())</f>
        <v>0</v>
      </c>
      <c r="CS54" s="25" t="b">
        <f aca="false">IF(AND(CS17=TRUE(),COUNTIF($H$17:CS17,TRUE())&lt;=DebtTenorYears*4),TRUE(),FALSE())</f>
        <v>0</v>
      </c>
      <c r="CT54" s="25" t="b">
        <f aca="false">IF(AND(CT17=TRUE(),COUNTIF($H$17:CT17,TRUE())&lt;=DebtTenorYears*4),TRUE(),FALSE())</f>
        <v>0</v>
      </c>
      <c r="CU54" s="25" t="b">
        <f aca="false">IF(AND(CU17=TRUE(),COUNTIF($H$17:CU17,TRUE())&lt;=DebtTenorYears*4),TRUE(),FALSE())</f>
        <v>0</v>
      </c>
      <c r="CV54" s="25" t="b">
        <f aca="false">IF(AND(CV17=TRUE(),COUNTIF($H$17:CV17,TRUE())&lt;=DebtTenorYears*4),TRUE(),FALSE())</f>
        <v>0</v>
      </c>
      <c r="CW54" s="25" t="b">
        <f aca="false">IF(AND(CW17=TRUE(),COUNTIF($H$17:CW17,TRUE())&lt;=DebtTenorYears*4),TRUE(),FALSE())</f>
        <v>0</v>
      </c>
      <c r="CX54" s="25" t="b">
        <f aca="false">IF(AND(CX17=TRUE(),COUNTIF($H$17:CX17,TRUE())&lt;=DebtTenorYears*4),TRUE(),FALSE())</f>
        <v>0</v>
      </c>
      <c r="CY54" s="25" t="b">
        <f aca="false">IF(AND(CY17=TRUE(),COUNTIF($H$17:CY17,TRUE())&lt;=DebtTenorYears*4),TRUE(),FALSE())</f>
        <v>0</v>
      </c>
      <c r="CZ54" s="25" t="b">
        <f aca="false">IF(AND(CZ17=TRUE(),COUNTIF($H$17:CZ17,TRUE())&lt;=DebtTenorYears*4),TRUE(),FALSE())</f>
        <v>0</v>
      </c>
      <c r="DA54" s="25" t="b">
        <f aca="false">IF(AND(DA17=TRUE(),COUNTIF($H$17:DA17,TRUE())&lt;=DebtTenorYears*4),TRUE(),FALSE())</f>
        <v>0</v>
      </c>
      <c r="DB54" s="25" t="b">
        <f aca="false">IF(AND(DB17=TRUE(),COUNTIF($H$17:DB17,TRUE())&lt;=DebtTenorYears*4),TRUE(),FALSE())</f>
        <v>0</v>
      </c>
      <c r="DC54" s="25" t="b">
        <f aca="false">IF(AND(DC17=TRUE(),COUNTIF($H$17:DC17,TRUE())&lt;=DebtTenorYears*4),TRUE(),FALSE())</f>
        <v>0</v>
      </c>
      <c r="DD54" s="25" t="b">
        <f aca="false">IF(AND(DD17=TRUE(),COUNTIF($H$17:DD17,TRUE())&lt;=DebtTenorYears*4),TRUE(),FALSE())</f>
        <v>0</v>
      </c>
      <c r="DE54" s="25" t="b">
        <f aca="false">IF(AND(DE17=TRUE(),COUNTIF($H$17:DE17,TRUE())&lt;=DebtTenorYears*4),TRUE(),FALSE())</f>
        <v>0</v>
      </c>
      <c r="DF54" s="25" t="b">
        <f aca="false">IF(AND(DF17=TRUE(),COUNTIF($H$17:DF17,TRUE())&lt;=DebtTenorYears*4),TRUE(),FALSE())</f>
        <v>0</v>
      </c>
      <c r="DG54" s="25" t="b">
        <f aca="false">IF(AND(DG17=TRUE(),COUNTIF($H$17:DG17,TRUE())&lt;=DebtTenorYears*4),TRUE(),FALSE())</f>
        <v>0</v>
      </c>
      <c r="DH54" s="25" t="b">
        <f aca="false">IF(AND(DH17=TRUE(),COUNTIF($H$17:DH17,TRUE())&lt;=DebtTenorYears*4),TRUE(),FALSE())</f>
        <v>0</v>
      </c>
      <c r="DI54" s="25" t="b">
        <f aca="false">IF(AND(DI17=TRUE(),COUNTIF($H$17:DI17,TRUE())&lt;=DebtTenorYears*4),TRUE(),FALSE())</f>
        <v>0</v>
      </c>
      <c r="DJ54" s="25" t="b">
        <f aca="false">IF(AND(DJ17=TRUE(),COUNTIF($H$17:DJ17,TRUE())&lt;=DebtTenorYears*4),TRUE(),FALSE())</f>
        <v>0</v>
      </c>
      <c r="DK54" s="25" t="b">
        <f aca="false">IF(AND(DK17=TRUE(),COUNTIF($H$17:DK17,TRUE())&lt;=DebtTenorYears*4),TRUE(),FALSE())</f>
        <v>0</v>
      </c>
      <c r="DL54" s="25" t="b">
        <f aca="false">IF(AND(DL17=TRUE(),COUNTIF($H$17:DL17,TRUE())&lt;=DebtTenorYears*4),TRUE(),FALSE())</f>
        <v>0</v>
      </c>
      <c r="DM54" s="25" t="b">
        <f aca="false">IF(AND(DM17=TRUE(),COUNTIF($H$17:DM17,TRUE())&lt;=DebtTenorYears*4),TRUE(),FALSE())</f>
        <v>0</v>
      </c>
      <c r="DN54" s="25" t="b">
        <f aca="false">IF(AND(DN17=TRUE(),COUNTIF($H$17:DN17,TRUE())&lt;=DebtTenorYears*4),TRUE(),FALSE())</f>
        <v>0</v>
      </c>
      <c r="DO54" s="25" t="b">
        <f aca="false">IF(AND(DO17=TRUE(),COUNTIF($H$17:DO17,TRUE())&lt;=DebtTenorYears*4),TRUE(),FALSE())</f>
        <v>0</v>
      </c>
      <c r="DP54" s="25" t="b">
        <f aca="false">IF(AND(DP17=TRUE(),COUNTIF($H$17:DP17,TRUE())&lt;=DebtTenorYears*4),TRUE(),FALSE())</f>
        <v>0</v>
      </c>
      <c r="DQ54" s="25" t="b">
        <f aca="false">IF(AND(DQ17=TRUE(),COUNTIF($H$17:DQ17,TRUE())&lt;=DebtTenorYears*4),TRUE(),FALSE())</f>
        <v>0</v>
      </c>
      <c r="DR54" s="25" t="b">
        <f aca="false">IF(AND(DR17=TRUE(),COUNTIF($H$17:DR17,TRUE())&lt;=DebtTenorYears*4),TRUE(),FALSE())</f>
        <v>0</v>
      </c>
      <c r="DS54" s="25" t="b">
        <f aca="false">IF(AND(DS17=TRUE(),COUNTIF($H$17:DS17,TRUE())&lt;=DebtTenorYears*4),TRUE(),FALSE())</f>
        <v>0</v>
      </c>
      <c r="DT54" s="25" t="b">
        <f aca="false">IF(AND(DT17=TRUE(),COUNTIF($H$17:DT17,TRUE())&lt;=DebtTenorYears*4),TRUE(),FALSE())</f>
        <v>0</v>
      </c>
      <c r="DU54" s="25" t="b">
        <f aca="false">IF(AND(DU17=TRUE(),COUNTIF($H$17:DU17,TRUE())&lt;=DebtTenorYears*4),TRUE(),FALSE())</f>
        <v>0</v>
      </c>
      <c r="DV54" s="25" t="b">
        <f aca="false">IF(AND(DV17=TRUE(),COUNTIF($H$17:DV17,TRUE())&lt;=DebtTenorYears*4),TRUE(),FALSE())</f>
        <v>0</v>
      </c>
      <c r="DW54" s="25" t="b">
        <f aca="false">IF(AND(DW17=TRUE(),COUNTIF($H$17:DW17,TRUE())&lt;=DebtTenorYears*4),TRUE(),FALSE())</f>
        <v>0</v>
      </c>
      <c r="DX54" s="25" t="b">
        <f aca="false">IF(AND(DX17=TRUE(),COUNTIF($H$17:DX17,TRUE())&lt;=DebtTenorYears*4),TRUE(),FALSE())</f>
        <v>0</v>
      </c>
      <c r="DY54" s="25" t="b">
        <f aca="false">IF(AND(DY17=TRUE(),COUNTIF($H$17:DY17,TRUE())&lt;=DebtTenorYears*4),TRUE(),FALSE())</f>
        <v>0</v>
      </c>
      <c r="DZ54" s="25" t="b">
        <f aca="false">IF(AND(DZ17=TRUE(),COUNTIF($H$17:DZ17,TRUE())&lt;=DebtTenorYears*4),TRUE(),FALSE())</f>
        <v>0</v>
      </c>
      <c r="EA54" s="25" t="b">
        <f aca="false">IF(AND(EA17=TRUE(),COUNTIF($H$17:EA17,TRUE())&lt;=DebtTenorYears*4),TRUE(),FALSE())</f>
        <v>0</v>
      </c>
      <c r="EB54" s="25" t="b">
        <f aca="false">IF(AND(EB17=TRUE(),COUNTIF($H$17:EB17,TRUE())&lt;=DebtTenorYears*4),TRUE(),FALSE())</f>
        <v>0</v>
      </c>
      <c r="EC54" s="25" t="b">
        <f aca="false">IF(AND(EC17=TRUE(),COUNTIF($H$17:EC17,TRUE())&lt;=DebtTenorYears*4),TRUE(),FALSE())</f>
        <v>0</v>
      </c>
      <c r="ED54" s="25" t="b">
        <f aca="false">IF(AND(ED17=TRUE(),COUNTIF($H$17:ED17,TRUE())&lt;=DebtTenorYears*4),TRUE(),FALSE())</f>
        <v>0</v>
      </c>
      <c r="EE54" s="25" t="b">
        <f aca="false">IF(AND(EE17=TRUE(),COUNTIF($H$17:EE17,TRUE())&lt;=DebtTenorYears*4),TRUE(),FALSE())</f>
        <v>0</v>
      </c>
      <c r="EF54" s="25" t="b">
        <f aca="false">IF(AND(EF17=TRUE(),COUNTIF($H$17:EF17,TRUE())&lt;=DebtTenorYears*4),TRUE(),FALSE())</f>
        <v>0</v>
      </c>
      <c r="EG54" s="25" t="b">
        <f aca="false">IF(AND(EG17=TRUE(),COUNTIF($H$17:EG17,TRUE())&lt;=DebtTenorYears*4),TRUE(),FALSE())</f>
        <v>0</v>
      </c>
      <c r="EH54" s="25" t="b">
        <f aca="false">IF(AND(EH17=TRUE(),COUNTIF($H$17:EH17,TRUE())&lt;=DebtTenorYears*4),TRUE(),FALSE())</f>
        <v>0</v>
      </c>
      <c r="EI54" s="25" t="b">
        <f aca="false">IF(AND(EI17=TRUE(),COUNTIF($H$17:EI17,TRUE())&lt;=DebtTenorYears*4),TRUE(),FALSE())</f>
        <v>0</v>
      </c>
      <c r="EJ54" s="25" t="b">
        <f aca="false">IF(AND(EJ17=TRUE(),COUNTIF($H$17:EJ17,TRUE())&lt;=DebtTenorYears*4),TRUE(),FALSE())</f>
        <v>0</v>
      </c>
      <c r="EK54" s="25" t="b">
        <f aca="false">IF(AND(EK17=TRUE(),COUNTIF($H$17:EK17,TRUE())&lt;=DebtTenorYears*4),TRUE(),FALSE())</f>
        <v>0</v>
      </c>
      <c r="EL54" s="25" t="b">
        <f aca="false">IF(AND(EL17=TRUE(),COUNTIF($H$17:EL17,TRUE())&lt;=DebtTenorYears*4),TRUE(),FALSE())</f>
        <v>0</v>
      </c>
      <c r="EM54" s="25" t="b">
        <f aca="false">IF(AND(EM17=TRUE(),COUNTIF($H$17:EM17,TRUE())&lt;=DebtTenorYears*4),TRUE(),FALSE())</f>
        <v>0</v>
      </c>
      <c r="EN54" s="25" t="b">
        <f aca="false">IF(AND(EN17=TRUE(),COUNTIF($H$17:EN17,TRUE())&lt;=DebtTenorYears*4),TRUE(),FALSE())</f>
        <v>0</v>
      </c>
      <c r="EO54" s="25" t="b">
        <f aca="false">IF(AND(EO17=TRUE(),COUNTIF($H$17:EO17,TRUE())&lt;=DebtTenorYears*4),TRUE(),FALSE())</f>
        <v>0</v>
      </c>
      <c r="EP54" s="25" t="b">
        <f aca="false">IF(AND(EP17=TRUE(),COUNTIF($H$17:EP17,TRUE())&lt;=DebtTenorYears*4),TRUE(),FALSE())</f>
        <v>0</v>
      </c>
      <c r="EQ54" s="25" t="b">
        <f aca="false">IF(AND(EQ17=TRUE(),COUNTIF($H$17:EQ17,TRUE())&lt;=DebtTenorYears*4),TRUE(),FALSE())</f>
        <v>0</v>
      </c>
      <c r="ER54" s="25" t="b">
        <f aca="false">IF(AND(ER17=TRUE(),COUNTIF($H$17:ER17,TRUE())&lt;=DebtTenorYears*4),TRUE(),FALSE())</f>
        <v>0</v>
      </c>
      <c r="ES54" s="25" t="b">
        <f aca="false">IF(AND(ES17=TRUE(),COUNTIF($H$17:ES17,TRUE())&lt;=DebtTenorYears*4),TRUE(),FALSE())</f>
        <v>0</v>
      </c>
      <c r="ET54" s="25" t="b">
        <f aca="false">IF(AND(ET17=TRUE(),COUNTIF($H$17:ET17,TRUE())&lt;=DebtTenorYears*4),TRUE(),FALSE())</f>
        <v>0</v>
      </c>
      <c r="EU54" s="25" t="b">
        <f aca="false">IF(AND(EU17=TRUE(),COUNTIF($H$17:EU17,TRUE())&lt;=DebtTenorYears*4),TRUE(),FALSE())</f>
        <v>0</v>
      </c>
      <c r="EV54" s="25" t="b">
        <f aca="false">IF(AND(EV17=TRUE(),COUNTIF($H$17:EV17,TRUE())&lt;=DebtTenorYears*4),TRUE(),FALSE())</f>
        <v>0</v>
      </c>
      <c r="EW54" s="25" t="b">
        <f aca="false">IF(AND(EW17=TRUE(),COUNTIF($H$17:EW17,TRUE())&lt;=DebtTenorYears*4),TRUE(),FALSE())</f>
        <v>0</v>
      </c>
      <c r="EX54" s="25" t="b">
        <f aca="false">IF(AND(EX17=TRUE(),COUNTIF($H$17:EX17,TRUE())&lt;=DebtTenorYears*4),TRUE(),FALSE())</f>
        <v>0</v>
      </c>
      <c r="EY54" s="25" t="b">
        <f aca="false">IF(AND(EY17=TRUE(),COUNTIF($H$17:EY17,TRUE())&lt;=DebtTenorYears*4),TRUE(),FALSE())</f>
        <v>0</v>
      </c>
      <c r="EZ54" s="25" t="b">
        <f aca="false">IF(AND(EZ17=TRUE(),COUNTIF($H$17:EZ17,TRUE())&lt;=DebtTenorYears*4),TRUE(),FALSE())</f>
        <v>0</v>
      </c>
      <c r="FA54" s="25" t="b">
        <f aca="false">IF(AND(FA17=TRUE(),COUNTIF($H$17:FA17,TRUE())&lt;=DebtTenorYears*4),TRUE(),FALSE())</f>
        <v>0</v>
      </c>
      <c r="FB54" s="25" t="b">
        <f aca="false">IF(AND(FB17=TRUE(),COUNTIF($H$17:FB17,TRUE())&lt;=DebtTenorYears*4),TRUE(),FALSE())</f>
        <v>0</v>
      </c>
      <c r="FC54" s="25" t="b">
        <f aca="false">IF(AND(FC17=TRUE(),COUNTIF($H$17:FC17,TRUE())&lt;=DebtTenorYears*4),TRUE(),FALSE())</f>
        <v>0</v>
      </c>
      <c r="FD54" s="25" t="b">
        <f aca="false">IF(AND(FD17=TRUE(),COUNTIF($H$17:FD17,TRUE())&lt;=DebtTenorYears*4),TRUE(),FALSE())</f>
        <v>0</v>
      </c>
      <c r="FE54" s="25" t="b">
        <f aca="false">IF(AND(FE17=TRUE(),COUNTIF($H$17:FE17,TRUE())&lt;=DebtTenorYears*4),TRUE(),FALSE())</f>
        <v>0</v>
      </c>
      <c r="FF54" s="25" t="b">
        <f aca="false">IF(AND(FF17=TRUE(),COUNTIF($H$17:FF17,TRUE())&lt;=DebtTenorYears*4),TRUE(),FALSE())</f>
        <v>0</v>
      </c>
      <c r="FG54" s="25" t="b">
        <f aca="false">IF(AND(FG17=TRUE(),COUNTIF($H$17:FG17,TRUE())&lt;=DebtTenorYears*4),TRUE(),FALSE())</f>
        <v>0</v>
      </c>
      <c r="FH54" s="25" t="b">
        <f aca="false">IF(AND(FH17=TRUE(),COUNTIF($H$17:FH17,TRUE())&lt;=DebtTenorYears*4),TRUE(),FALSE())</f>
        <v>0</v>
      </c>
      <c r="FI54" s="25" t="b">
        <f aca="false">IF(AND(FI17=TRUE(),COUNTIF($H$17:FI17,TRUE())&lt;=DebtTenorYears*4),TRUE(),FALSE())</f>
        <v>0</v>
      </c>
      <c r="FJ54" s="25" t="b">
        <f aca="false">IF(AND(FJ17=TRUE(),COUNTIF($H$17:FJ17,TRUE())&lt;=DebtTenorYears*4),TRUE(),FALSE())</f>
        <v>0</v>
      </c>
      <c r="FK54" s="25" t="b">
        <f aca="false">IF(AND(FK17=TRUE(),COUNTIF($H$17:FK17,TRUE())&lt;=DebtTenorYears*4),TRUE(),FALSE())</f>
        <v>0</v>
      </c>
    </row>
    <row r="55" customFormat="false" ht="15" hidden="false" customHeight="true" outlineLevel="0" collapsed="false">
      <c r="D55" s="21" t="s">
        <v>100</v>
      </c>
      <c r="E55" s="7" t="s">
        <v>28</v>
      </c>
      <c r="H55" s="23" t="s">
        <v>101</v>
      </c>
      <c r="I55" s="23" t="n">
        <f aca="false">H59</f>
        <v>67500000</v>
      </c>
      <c r="J55" s="23" t="n">
        <f aca="false">I59</f>
        <v>135000000</v>
      </c>
      <c r="K55" s="23" t="n">
        <f aca="false">J59</f>
        <v>202500000</v>
      </c>
      <c r="L55" s="23" t="n">
        <f aca="false">K59</f>
        <v>270000000</v>
      </c>
      <c r="M55" s="23" t="n">
        <f aca="false">L59</f>
        <v>265500000</v>
      </c>
      <c r="N55" s="23" t="n">
        <f aca="false">M59</f>
        <v>261000000</v>
      </c>
      <c r="O55" s="23" t="n">
        <f aca="false">N59</f>
        <v>256500000</v>
      </c>
      <c r="P55" s="23" t="n">
        <f aca="false">O59</f>
        <v>252000000</v>
      </c>
      <c r="Q55" s="23" t="n">
        <f aca="false">P59</f>
        <v>247500000</v>
      </c>
      <c r="R55" s="23" t="n">
        <f aca="false">Q59</f>
        <v>243000000</v>
      </c>
      <c r="S55" s="23" t="n">
        <f aca="false">R59</f>
        <v>238500000</v>
      </c>
      <c r="T55" s="23" t="n">
        <f aca="false">S59</f>
        <v>234000000</v>
      </c>
      <c r="U55" s="23" t="n">
        <f aca="false">T59</f>
        <v>229500000</v>
      </c>
      <c r="V55" s="23" t="n">
        <f aca="false">U59</f>
        <v>225000000</v>
      </c>
      <c r="W55" s="23" t="n">
        <f aca="false">V59</f>
        <v>220500000</v>
      </c>
      <c r="X55" s="23" t="n">
        <f aca="false">W59</f>
        <v>216000000</v>
      </c>
      <c r="Y55" s="23" t="n">
        <f aca="false">X59</f>
        <v>211500000</v>
      </c>
      <c r="Z55" s="23" t="n">
        <f aca="false">Y59</f>
        <v>207000000</v>
      </c>
      <c r="AA55" s="23" t="n">
        <f aca="false">Z59</f>
        <v>202500000</v>
      </c>
      <c r="AB55" s="23" t="n">
        <f aca="false">AA59</f>
        <v>198000000</v>
      </c>
      <c r="AC55" s="23" t="n">
        <f aca="false">AB59</f>
        <v>193500000</v>
      </c>
      <c r="AD55" s="23" t="n">
        <f aca="false">AC59</f>
        <v>189000000</v>
      </c>
      <c r="AE55" s="23" t="n">
        <f aca="false">AD59</f>
        <v>184500000</v>
      </c>
      <c r="AF55" s="23" t="n">
        <f aca="false">AE59</f>
        <v>180000000</v>
      </c>
      <c r="AG55" s="23" t="n">
        <f aca="false">AF59</f>
        <v>175500000</v>
      </c>
      <c r="AH55" s="23" t="n">
        <f aca="false">AG59</f>
        <v>171000000</v>
      </c>
      <c r="AI55" s="23" t="n">
        <f aca="false">AH59</f>
        <v>166500000</v>
      </c>
      <c r="AJ55" s="23" t="n">
        <f aca="false">AI59</f>
        <v>162000000</v>
      </c>
      <c r="AK55" s="23" t="n">
        <f aca="false">AJ59</f>
        <v>157500000</v>
      </c>
      <c r="AL55" s="23" t="n">
        <f aca="false">AK59</f>
        <v>153000000</v>
      </c>
      <c r="AM55" s="23" t="n">
        <f aca="false">AL59</f>
        <v>148500000</v>
      </c>
      <c r="AN55" s="23" t="n">
        <f aca="false">AM59</f>
        <v>144000000</v>
      </c>
      <c r="AO55" s="23" t="n">
        <f aca="false">AN59</f>
        <v>139500000</v>
      </c>
      <c r="AP55" s="23" t="n">
        <f aca="false">AO59</f>
        <v>135000000</v>
      </c>
      <c r="AQ55" s="23" t="n">
        <f aca="false">AP59</f>
        <v>130500000</v>
      </c>
      <c r="AR55" s="23" t="n">
        <f aca="false">AQ59</f>
        <v>126000000</v>
      </c>
      <c r="AS55" s="23" t="n">
        <f aca="false">AR59</f>
        <v>121500000</v>
      </c>
      <c r="AT55" s="23" t="n">
        <f aca="false">AS59</f>
        <v>117000000</v>
      </c>
      <c r="AU55" s="23" t="n">
        <f aca="false">AT59</f>
        <v>112500000</v>
      </c>
      <c r="AV55" s="23" t="n">
        <f aca="false">AU59</f>
        <v>108000000</v>
      </c>
      <c r="AW55" s="23" t="n">
        <f aca="false">AV59</f>
        <v>103500000</v>
      </c>
      <c r="AX55" s="23" t="n">
        <f aca="false">AW59</f>
        <v>99000000</v>
      </c>
      <c r="AY55" s="23" t="n">
        <f aca="false">AX59</f>
        <v>94500000</v>
      </c>
      <c r="AZ55" s="23" t="n">
        <f aca="false">AY59</f>
        <v>90000000</v>
      </c>
      <c r="BA55" s="23" t="n">
        <f aca="false">AZ59</f>
        <v>85500000</v>
      </c>
      <c r="BB55" s="23" t="n">
        <f aca="false">BA59</f>
        <v>81000000</v>
      </c>
      <c r="BC55" s="23" t="n">
        <f aca="false">BB59</f>
        <v>76500000</v>
      </c>
      <c r="BD55" s="23" t="n">
        <f aca="false">BC59</f>
        <v>72000000</v>
      </c>
      <c r="BE55" s="23" t="n">
        <f aca="false">BD59</f>
        <v>67500000</v>
      </c>
      <c r="BF55" s="23" t="n">
        <f aca="false">BE59</f>
        <v>63000000</v>
      </c>
      <c r="BG55" s="23" t="n">
        <f aca="false">BF59</f>
        <v>58500000</v>
      </c>
      <c r="BH55" s="23" t="n">
        <f aca="false">BG59</f>
        <v>54000000</v>
      </c>
      <c r="BI55" s="23" t="n">
        <f aca="false">BH59</f>
        <v>49500000</v>
      </c>
      <c r="BJ55" s="23" t="n">
        <f aca="false">BI59</f>
        <v>45000000</v>
      </c>
      <c r="BK55" s="23" t="n">
        <f aca="false">BJ59</f>
        <v>40500000</v>
      </c>
      <c r="BL55" s="23" t="n">
        <f aca="false">BK59</f>
        <v>36000000</v>
      </c>
      <c r="BM55" s="23" t="n">
        <f aca="false">BL59</f>
        <v>31500000</v>
      </c>
      <c r="BN55" s="23" t="n">
        <f aca="false">BM59</f>
        <v>27000000</v>
      </c>
      <c r="BO55" s="23" t="n">
        <f aca="false">BN59</f>
        <v>22500000</v>
      </c>
      <c r="BP55" s="23" t="n">
        <f aca="false">BO59</f>
        <v>18000000</v>
      </c>
      <c r="BQ55" s="23" t="n">
        <f aca="false">BP59</f>
        <v>13500000</v>
      </c>
      <c r="BR55" s="23" t="n">
        <f aca="false">BQ59</f>
        <v>9000000</v>
      </c>
      <c r="BS55" s="23" t="n">
        <f aca="false">BR59</f>
        <v>4500000</v>
      </c>
      <c r="BT55" s="23" t="n">
        <f aca="false">BS59</f>
        <v>0</v>
      </c>
      <c r="BU55" s="23" t="n">
        <f aca="false">BT59</f>
        <v>0</v>
      </c>
      <c r="BV55" s="23" t="n">
        <f aca="false">BU59</f>
        <v>0</v>
      </c>
      <c r="BW55" s="23" t="n">
        <f aca="false">BV59</f>
        <v>0</v>
      </c>
      <c r="BX55" s="23" t="n">
        <f aca="false">BW59</f>
        <v>0</v>
      </c>
      <c r="BY55" s="23" t="n">
        <f aca="false">BX59</f>
        <v>0</v>
      </c>
      <c r="BZ55" s="23" t="n">
        <f aca="false">BY59</f>
        <v>0</v>
      </c>
      <c r="CA55" s="23" t="n">
        <f aca="false">BZ59</f>
        <v>0</v>
      </c>
      <c r="CB55" s="23" t="n">
        <f aca="false">CA59</f>
        <v>0</v>
      </c>
      <c r="CC55" s="23" t="n">
        <f aca="false">CB59</f>
        <v>0</v>
      </c>
      <c r="CD55" s="23" t="n">
        <f aca="false">CC59</f>
        <v>0</v>
      </c>
      <c r="CE55" s="23" t="n">
        <f aca="false">CD59</f>
        <v>0</v>
      </c>
      <c r="CF55" s="23" t="n">
        <f aca="false">CE59</f>
        <v>0</v>
      </c>
      <c r="CG55" s="23" t="n">
        <f aca="false">CF59</f>
        <v>0</v>
      </c>
      <c r="CH55" s="23" t="n">
        <f aca="false">CG59</f>
        <v>0</v>
      </c>
      <c r="CI55" s="23" t="n">
        <f aca="false">CH59</f>
        <v>0</v>
      </c>
      <c r="CJ55" s="23" t="n">
        <f aca="false">CI59</f>
        <v>0</v>
      </c>
      <c r="CK55" s="23" t="n">
        <f aca="false">CJ59</f>
        <v>0</v>
      </c>
      <c r="CL55" s="23" t="n">
        <f aca="false">CK59</f>
        <v>0</v>
      </c>
      <c r="CM55" s="23" t="n">
        <f aca="false">CL59</f>
        <v>0</v>
      </c>
      <c r="CN55" s="23" t="n">
        <f aca="false">CM59</f>
        <v>0</v>
      </c>
      <c r="CO55" s="23" t="n">
        <f aca="false">CN59</f>
        <v>0</v>
      </c>
      <c r="CP55" s="23" t="n">
        <f aca="false">CO59</f>
        <v>0</v>
      </c>
      <c r="CQ55" s="23" t="n">
        <f aca="false">CP59</f>
        <v>0</v>
      </c>
      <c r="CR55" s="23" t="n">
        <f aca="false">CQ59</f>
        <v>0</v>
      </c>
      <c r="CS55" s="23" t="n">
        <f aca="false">CR59</f>
        <v>0</v>
      </c>
      <c r="CT55" s="23" t="n">
        <f aca="false">CS59</f>
        <v>0</v>
      </c>
      <c r="CU55" s="23" t="n">
        <f aca="false">CT59</f>
        <v>0</v>
      </c>
      <c r="CV55" s="23" t="n">
        <f aca="false">CU59</f>
        <v>0</v>
      </c>
      <c r="CW55" s="23" t="n">
        <f aca="false">CV59</f>
        <v>0</v>
      </c>
      <c r="CX55" s="23" t="n">
        <f aca="false">CW59</f>
        <v>0</v>
      </c>
      <c r="CY55" s="23" t="n">
        <f aca="false">CX59</f>
        <v>0</v>
      </c>
      <c r="CZ55" s="23" t="n">
        <f aca="false">CY59</f>
        <v>0</v>
      </c>
      <c r="DA55" s="23" t="n">
        <f aca="false">CZ59</f>
        <v>0</v>
      </c>
      <c r="DB55" s="23" t="n">
        <f aca="false">DA59</f>
        <v>0</v>
      </c>
      <c r="DC55" s="23" t="n">
        <f aca="false">DB59</f>
        <v>0</v>
      </c>
      <c r="DD55" s="23" t="n">
        <f aca="false">DC59</f>
        <v>0</v>
      </c>
      <c r="DE55" s="23" t="n">
        <f aca="false">DD59</f>
        <v>0</v>
      </c>
      <c r="DF55" s="23" t="n">
        <f aca="false">DE59</f>
        <v>0</v>
      </c>
      <c r="DG55" s="23" t="n">
        <f aca="false">DF59</f>
        <v>0</v>
      </c>
      <c r="DH55" s="23" t="n">
        <f aca="false">DG59</f>
        <v>0</v>
      </c>
      <c r="DI55" s="23" t="n">
        <f aca="false">DH59</f>
        <v>0</v>
      </c>
      <c r="DJ55" s="23" t="n">
        <f aca="false">DI59</f>
        <v>0</v>
      </c>
      <c r="DK55" s="23" t="n">
        <f aca="false">DJ59</f>
        <v>0</v>
      </c>
      <c r="DL55" s="23" t="n">
        <f aca="false">DK59</f>
        <v>0</v>
      </c>
      <c r="DM55" s="23" t="n">
        <f aca="false">DL59</f>
        <v>0</v>
      </c>
      <c r="DN55" s="23" t="n">
        <f aca="false">DM59</f>
        <v>0</v>
      </c>
      <c r="DO55" s="23" t="n">
        <f aca="false">DN59</f>
        <v>0</v>
      </c>
      <c r="DP55" s="23" t="n">
        <f aca="false">DO59</f>
        <v>0</v>
      </c>
      <c r="DQ55" s="23" t="n">
        <f aca="false">DP59</f>
        <v>0</v>
      </c>
      <c r="DR55" s="23" t="n">
        <f aca="false">DQ59</f>
        <v>0</v>
      </c>
      <c r="DS55" s="23" t="n">
        <f aca="false">DR59</f>
        <v>0</v>
      </c>
      <c r="DT55" s="23" t="n">
        <f aca="false">DS59</f>
        <v>0</v>
      </c>
      <c r="DU55" s="23" t="n">
        <f aca="false">DT59</f>
        <v>0</v>
      </c>
      <c r="DV55" s="23" t="n">
        <f aca="false">DU59</f>
        <v>0</v>
      </c>
      <c r="DW55" s="23" t="n">
        <f aca="false">DV59</f>
        <v>0</v>
      </c>
      <c r="DX55" s="23" t="n">
        <f aca="false">DW59</f>
        <v>0</v>
      </c>
      <c r="DY55" s="23" t="n">
        <f aca="false">DX59</f>
        <v>0</v>
      </c>
      <c r="DZ55" s="23" t="n">
        <f aca="false">DY59</f>
        <v>0</v>
      </c>
      <c r="EA55" s="23" t="n">
        <f aca="false">DZ59</f>
        <v>0</v>
      </c>
      <c r="EB55" s="23" t="n">
        <f aca="false">EA59</f>
        <v>0</v>
      </c>
      <c r="EC55" s="23" t="n">
        <f aca="false">EB59</f>
        <v>0</v>
      </c>
      <c r="ED55" s="23" t="n">
        <f aca="false">EC59</f>
        <v>0</v>
      </c>
      <c r="EE55" s="23" t="n">
        <f aca="false">ED59</f>
        <v>0</v>
      </c>
      <c r="EF55" s="23" t="n">
        <f aca="false">EE59</f>
        <v>0</v>
      </c>
      <c r="EG55" s="23" t="n">
        <f aca="false">EF59</f>
        <v>0</v>
      </c>
      <c r="EH55" s="23" t="n">
        <f aca="false">EG59</f>
        <v>0</v>
      </c>
      <c r="EI55" s="23" t="n">
        <f aca="false">EH59</f>
        <v>0</v>
      </c>
      <c r="EJ55" s="23" t="n">
        <f aca="false">EI59</f>
        <v>0</v>
      </c>
      <c r="EK55" s="23" t="n">
        <f aca="false">EJ59</f>
        <v>0</v>
      </c>
      <c r="EL55" s="23" t="n">
        <f aca="false">EK59</f>
        <v>0</v>
      </c>
      <c r="EM55" s="23" t="n">
        <f aca="false">EL59</f>
        <v>0</v>
      </c>
      <c r="EN55" s="23" t="n">
        <f aca="false">EM59</f>
        <v>0</v>
      </c>
      <c r="EO55" s="23" t="n">
        <f aca="false">EN59</f>
        <v>0</v>
      </c>
      <c r="EP55" s="23" t="n">
        <f aca="false">EO59</f>
        <v>0</v>
      </c>
      <c r="EQ55" s="23" t="n">
        <f aca="false">EP59</f>
        <v>0</v>
      </c>
      <c r="ER55" s="23" t="n">
        <f aca="false">EQ59</f>
        <v>0</v>
      </c>
      <c r="ES55" s="23" t="n">
        <f aca="false">ER59</f>
        <v>0</v>
      </c>
      <c r="ET55" s="23" t="n">
        <f aca="false">ES59</f>
        <v>0</v>
      </c>
      <c r="EU55" s="23" t="n">
        <f aca="false">ET59</f>
        <v>0</v>
      </c>
      <c r="EV55" s="23" t="n">
        <f aca="false">EU59</f>
        <v>0</v>
      </c>
      <c r="EW55" s="23" t="n">
        <f aca="false">EV59</f>
        <v>0</v>
      </c>
      <c r="EX55" s="23" t="n">
        <f aca="false">EW59</f>
        <v>0</v>
      </c>
      <c r="EY55" s="23" t="n">
        <f aca="false">EX59</f>
        <v>0</v>
      </c>
      <c r="EZ55" s="23" t="n">
        <f aca="false">EY59</f>
        <v>0</v>
      </c>
      <c r="FA55" s="23" t="n">
        <f aca="false">EZ59</f>
        <v>0</v>
      </c>
      <c r="FB55" s="23" t="n">
        <f aca="false">FA59</f>
        <v>0</v>
      </c>
      <c r="FC55" s="23" t="n">
        <f aca="false">FB59</f>
        <v>0</v>
      </c>
      <c r="FD55" s="23" t="n">
        <f aca="false">FC59</f>
        <v>0</v>
      </c>
      <c r="FE55" s="23" t="n">
        <f aca="false">FD59</f>
        <v>0</v>
      </c>
      <c r="FF55" s="23" t="n">
        <f aca="false">FE59</f>
        <v>0</v>
      </c>
      <c r="FG55" s="23" t="n">
        <f aca="false">FF59</f>
        <v>0</v>
      </c>
      <c r="FH55" s="23" t="n">
        <f aca="false">FG59</f>
        <v>0</v>
      </c>
      <c r="FI55" s="23" t="n">
        <f aca="false">FH59</f>
        <v>0</v>
      </c>
      <c r="FJ55" s="23" t="n">
        <f aca="false">FI59</f>
        <v>0</v>
      </c>
      <c r="FK55" s="23" t="n">
        <f aca="false">FJ59</f>
        <v>0</v>
      </c>
    </row>
    <row r="56" customFormat="false" ht="15" hidden="false" customHeight="true" outlineLevel="0" collapsed="false">
      <c r="D56" s="21" t="s">
        <v>102</v>
      </c>
      <c r="E56" s="7" t="s">
        <v>28</v>
      </c>
      <c r="F56" s="22" t="n">
        <f aca="false">SUM(H56:FK56)</f>
        <v>270000000</v>
      </c>
      <c r="H56" s="23" t="n">
        <f aca="false">H27</f>
        <v>67500000</v>
      </c>
      <c r="I56" s="23" t="n">
        <f aca="false">I27</f>
        <v>67500000</v>
      </c>
      <c r="J56" s="23" t="n">
        <f aca="false">J27</f>
        <v>67500000</v>
      </c>
      <c r="K56" s="23" t="n">
        <f aca="false">K27</f>
        <v>67500000</v>
      </c>
      <c r="L56" s="23" t="n">
        <f aca="false">L27</f>
        <v>0</v>
      </c>
      <c r="M56" s="23" t="n">
        <f aca="false">M27</f>
        <v>0</v>
      </c>
      <c r="N56" s="23" t="n">
        <f aca="false">N27</f>
        <v>0</v>
      </c>
      <c r="O56" s="23" t="n">
        <f aca="false">O27</f>
        <v>0</v>
      </c>
      <c r="P56" s="23" t="n">
        <f aca="false">P27</f>
        <v>0</v>
      </c>
      <c r="Q56" s="23" t="n">
        <f aca="false">Q27</f>
        <v>0</v>
      </c>
      <c r="R56" s="23" t="n">
        <f aca="false">R27</f>
        <v>0</v>
      </c>
      <c r="S56" s="23" t="n">
        <f aca="false">S27</f>
        <v>0</v>
      </c>
      <c r="T56" s="23" t="n">
        <f aca="false">T27</f>
        <v>0</v>
      </c>
      <c r="U56" s="23" t="n">
        <f aca="false">U27</f>
        <v>0</v>
      </c>
      <c r="V56" s="23" t="n">
        <f aca="false">V27</f>
        <v>0</v>
      </c>
      <c r="W56" s="23" t="n">
        <f aca="false">W27</f>
        <v>0</v>
      </c>
      <c r="X56" s="23" t="n">
        <f aca="false">X27</f>
        <v>0</v>
      </c>
      <c r="Y56" s="23" t="n">
        <f aca="false">Y27</f>
        <v>0</v>
      </c>
      <c r="Z56" s="23" t="n">
        <f aca="false">Z27</f>
        <v>0</v>
      </c>
      <c r="AA56" s="23" t="n">
        <f aca="false">AA27</f>
        <v>0</v>
      </c>
      <c r="AB56" s="23" t="n">
        <f aca="false">AB27</f>
        <v>0</v>
      </c>
      <c r="AC56" s="23" t="n">
        <f aca="false">AC27</f>
        <v>0</v>
      </c>
      <c r="AD56" s="23" t="n">
        <f aca="false">AD27</f>
        <v>0</v>
      </c>
      <c r="AE56" s="23" t="n">
        <f aca="false">AE27</f>
        <v>0</v>
      </c>
      <c r="AF56" s="23" t="n">
        <f aca="false">AF27</f>
        <v>0</v>
      </c>
      <c r="AG56" s="23" t="n">
        <f aca="false">AG27</f>
        <v>0</v>
      </c>
      <c r="AH56" s="23" t="n">
        <f aca="false">AH27</f>
        <v>0</v>
      </c>
      <c r="AI56" s="23" t="n">
        <f aca="false">AI27</f>
        <v>0</v>
      </c>
      <c r="AJ56" s="23" t="n">
        <f aca="false">AJ27</f>
        <v>0</v>
      </c>
      <c r="AK56" s="23" t="n">
        <f aca="false">AK27</f>
        <v>0</v>
      </c>
      <c r="AL56" s="23" t="n">
        <f aca="false">AL27</f>
        <v>0</v>
      </c>
      <c r="AM56" s="23" t="n">
        <f aca="false">AM27</f>
        <v>0</v>
      </c>
      <c r="AN56" s="23" t="n">
        <f aca="false">AN27</f>
        <v>0</v>
      </c>
      <c r="AO56" s="23" t="n">
        <f aca="false">AO27</f>
        <v>0</v>
      </c>
      <c r="AP56" s="23" t="n">
        <f aca="false">AP27</f>
        <v>0</v>
      </c>
      <c r="AQ56" s="23" t="n">
        <f aca="false">AQ27</f>
        <v>0</v>
      </c>
      <c r="AR56" s="23" t="n">
        <f aca="false">AR27</f>
        <v>0</v>
      </c>
      <c r="AS56" s="23" t="n">
        <f aca="false">AS27</f>
        <v>0</v>
      </c>
      <c r="AT56" s="23" t="n">
        <f aca="false">AT27</f>
        <v>0</v>
      </c>
      <c r="AU56" s="23" t="n">
        <f aca="false">AU27</f>
        <v>0</v>
      </c>
      <c r="AV56" s="23" t="n">
        <f aca="false">AV27</f>
        <v>0</v>
      </c>
      <c r="AW56" s="23" t="n">
        <f aca="false">AW27</f>
        <v>0</v>
      </c>
      <c r="AX56" s="23" t="n">
        <f aca="false">AX27</f>
        <v>0</v>
      </c>
      <c r="AY56" s="23" t="n">
        <f aca="false">AY27</f>
        <v>0</v>
      </c>
      <c r="AZ56" s="23" t="n">
        <f aca="false">AZ27</f>
        <v>0</v>
      </c>
      <c r="BA56" s="23" t="n">
        <f aca="false">BA27</f>
        <v>0</v>
      </c>
      <c r="BB56" s="23" t="n">
        <f aca="false">BB27</f>
        <v>0</v>
      </c>
      <c r="BC56" s="23" t="n">
        <f aca="false">BC27</f>
        <v>0</v>
      </c>
      <c r="BD56" s="23" t="n">
        <f aca="false">BD27</f>
        <v>0</v>
      </c>
      <c r="BE56" s="23" t="n">
        <f aca="false">BE27</f>
        <v>0</v>
      </c>
      <c r="BF56" s="23" t="n">
        <f aca="false">BF27</f>
        <v>0</v>
      </c>
      <c r="BG56" s="23" t="n">
        <f aca="false">BG27</f>
        <v>0</v>
      </c>
      <c r="BH56" s="23" t="n">
        <f aca="false">BH27</f>
        <v>0</v>
      </c>
      <c r="BI56" s="23" t="n">
        <f aca="false">BI27</f>
        <v>0</v>
      </c>
      <c r="BJ56" s="23" t="n">
        <f aca="false">BJ27</f>
        <v>0</v>
      </c>
      <c r="BK56" s="23" t="n">
        <f aca="false">BK27</f>
        <v>0</v>
      </c>
      <c r="BL56" s="23" t="n">
        <f aca="false">BL27</f>
        <v>0</v>
      </c>
      <c r="BM56" s="23" t="n">
        <f aca="false">BM27</f>
        <v>0</v>
      </c>
      <c r="BN56" s="23" t="n">
        <f aca="false">BN27</f>
        <v>0</v>
      </c>
      <c r="BO56" s="23" t="n">
        <f aca="false">BO27</f>
        <v>0</v>
      </c>
      <c r="BP56" s="23" t="n">
        <f aca="false">BP27</f>
        <v>0</v>
      </c>
      <c r="BQ56" s="23" t="n">
        <f aca="false">BQ27</f>
        <v>0</v>
      </c>
      <c r="BR56" s="23" t="n">
        <f aca="false">BR27</f>
        <v>0</v>
      </c>
      <c r="BS56" s="23" t="n">
        <f aca="false">BS27</f>
        <v>0</v>
      </c>
      <c r="BT56" s="23" t="n">
        <f aca="false">BT27</f>
        <v>0</v>
      </c>
      <c r="BU56" s="23" t="n">
        <f aca="false">BU27</f>
        <v>0</v>
      </c>
      <c r="BV56" s="23" t="n">
        <f aca="false">BV27</f>
        <v>0</v>
      </c>
      <c r="BW56" s="23" t="n">
        <f aca="false">BW27</f>
        <v>0</v>
      </c>
      <c r="BX56" s="23" t="n">
        <f aca="false">BX27</f>
        <v>0</v>
      </c>
      <c r="BY56" s="23" t="n">
        <f aca="false">BY27</f>
        <v>0</v>
      </c>
      <c r="BZ56" s="23" t="n">
        <f aca="false">BZ27</f>
        <v>0</v>
      </c>
      <c r="CA56" s="23" t="n">
        <f aca="false">CA27</f>
        <v>0</v>
      </c>
      <c r="CB56" s="23" t="n">
        <f aca="false">CB27</f>
        <v>0</v>
      </c>
      <c r="CC56" s="23" t="n">
        <f aca="false">CC27</f>
        <v>0</v>
      </c>
      <c r="CD56" s="23" t="n">
        <f aca="false">CD27</f>
        <v>0</v>
      </c>
      <c r="CE56" s="23" t="n">
        <f aca="false">CE27</f>
        <v>0</v>
      </c>
      <c r="CF56" s="23" t="n">
        <f aca="false">CF27</f>
        <v>0</v>
      </c>
      <c r="CG56" s="23" t="n">
        <f aca="false">CG27</f>
        <v>0</v>
      </c>
      <c r="CH56" s="23" t="n">
        <f aca="false">CH27</f>
        <v>0</v>
      </c>
      <c r="CI56" s="23" t="n">
        <f aca="false">CI27</f>
        <v>0</v>
      </c>
      <c r="CJ56" s="23" t="n">
        <f aca="false">CJ27</f>
        <v>0</v>
      </c>
      <c r="CK56" s="23" t="n">
        <f aca="false">CK27</f>
        <v>0</v>
      </c>
      <c r="CL56" s="23" t="n">
        <f aca="false">CL27</f>
        <v>0</v>
      </c>
      <c r="CM56" s="23" t="n">
        <f aca="false">CM27</f>
        <v>0</v>
      </c>
      <c r="CN56" s="23" t="n">
        <f aca="false">CN27</f>
        <v>0</v>
      </c>
      <c r="CO56" s="23" t="n">
        <f aca="false">CO27</f>
        <v>0</v>
      </c>
      <c r="CP56" s="23" t="n">
        <f aca="false">CP27</f>
        <v>0</v>
      </c>
      <c r="CQ56" s="23" t="n">
        <f aca="false">CQ27</f>
        <v>0</v>
      </c>
      <c r="CR56" s="23" t="n">
        <f aca="false">CR27</f>
        <v>0</v>
      </c>
      <c r="CS56" s="23" t="n">
        <f aca="false">CS27</f>
        <v>0</v>
      </c>
      <c r="CT56" s="23" t="n">
        <f aca="false">CT27</f>
        <v>0</v>
      </c>
      <c r="CU56" s="23" t="n">
        <f aca="false">CU27</f>
        <v>0</v>
      </c>
      <c r="CV56" s="23" t="n">
        <f aca="false">CV27</f>
        <v>0</v>
      </c>
      <c r="CW56" s="23" t="n">
        <f aca="false">CW27</f>
        <v>0</v>
      </c>
      <c r="CX56" s="23" t="n">
        <f aca="false">CX27</f>
        <v>0</v>
      </c>
      <c r="CY56" s="23" t="n">
        <f aca="false">CY27</f>
        <v>0</v>
      </c>
      <c r="CZ56" s="23" t="n">
        <f aca="false">CZ27</f>
        <v>0</v>
      </c>
      <c r="DA56" s="23" t="n">
        <f aca="false">DA27</f>
        <v>0</v>
      </c>
      <c r="DB56" s="23" t="n">
        <f aca="false">DB27</f>
        <v>0</v>
      </c>
      <c r="DC56" s="23" t="n">
        <f aca="false">DC27</f>
        <v>0</v>
      </c>
      <c r="DD56" s="23" t="n">
        <f aca="false">DD27</f>
        <v>0</v>
      </c>
      <c r="DE56" s="23" t="n">
        <f aca="false">DE27</f>
        <v>0</v>
      </c>
      <c r="DF56" s="23" t="n">
        <f aca="false">DF27</f>
        <v>0</v>
      </c>
      <c r="DG56" s="23" t="n">
        <f aca="false">DG27</f>
        <v>0</v>
      </c>
      <c r="DH56" s="23" t="n">
        <f aca="false">DH27</f>
        <v>0</v>
      </c>
      <c r="DI56" s="23" t="n">
        <f aca="false">DI27</f>
        <v>0</v>
      </c>
      <c r="DJ56" s="23" t="n">
        <f aca="false">DJ27</f>
        <v>0</v>
      </c>
      <c r="DK56" s="23" t="n">
        <f aca="false">DK27</f>
        <v>0</v>
      </c>
      <c r="DL56" s="23" t="n">
        <f aca="false">DL27</f>
        <v>0</v>
      </c>
      <c r="DM56" s="23" t="n">
        <f aca="false">DM27</f>
        <v>0</v>
      </c>
      <c r="DN56" s="23" t="n">
        <f aca="false">DN27</f>
        <v>0</v>
      </c>
      <c r="DO56" s="23" t="n">
        <f aca="false">DO27</f>
        <v>0</v>
      </c>
      <c r="DP56" s="23" t="n">
        <f aca="false">DP27</f>
        <v>0</v>
      </c>
      <c r="DQ56" s="23" t="n">
        <f aca="false">DQ27</f>
        <v>0</v>
      </c>
      <c r="DR56" s="23" t="n">
        <f aca="false">DR27</f>
        <v>0</v>
      </c>
      <c r="DS56" s="23" t="n">
        <f aca="false">DS27</f>
        <v>0</v>
      </c>
      <c r="DT56" s="23" t="n">
        <f aca="false">DT27</f>
        <v>0</v>
      </c>
      <c r="DU56" s="23" t="n">
        <f aca="false">DU27</f>
        <v>0</v>
      </c>
      <c r="DV56" s="23" t="n">
        <f aca="false">DV27</f>
        <v>0</v>
      </c>
      <c r="DW56" s="23" t="n">
        <f aca="false">DW27</f>
        <v>0</v>
      </c>
      <c r="DX56" s="23" t="n">
        <f aca="false">DX27</f>
        <v>0</v>
      </c>
      <c r="DY56" s="23" t="n">
        <f aca="false">DY27</f>
        <v>0</v>
      </c>
      <c r="DZ56" s="23" t="n">
        <f aca="false">DZ27</f>
        <v>0</v>
      </c>
      <c r="EA56" s="23" t="n">
        <f aca="false">EA27</f>
        <v>0</v>
      </c>
      <c r="EB56" s="23" t="n">
        <f aca="false">EB27</f>
        <v>0</v>
      </c>
      <c r="EC56" s="23" t="n">
        <f aca="false">EC27</f>
        <v>0</v>
      </c>
      <c r="ED56" s="23" t="n">
        <f aca="false">ED27</f>
        <v>0</v>
      </c>
      <c r="EE56" s="23" t="n">
        <f aca="false">EE27</f>
        <v>0</v>
      </c>
      <c r="EF56" s="23" t="n">
        <f aca="false">EF27</f>
        <v>0</v>
      </c>
      <c r="EG56" s="23" t="n">
        <f aca="false">EG27</f>
        <v>0</v>
      </c>
      <c r="EH56" s="23" t="n">
        <f aca="false">EH27</f>
        <v>0</v>
      </c>
      <c r="EI56" s="23" t="n">
        <f aca="false">EI27</f>
        <v>0</v>
      </c>
      <c r="EJ56" s="23" t="n">
        <f aca="false">EJ27</f>
        <v>0</v>
      </c>
      <c r="EK56" s="23" t="n">
        <f aca="false">EK27</f>
        <v>0</v>
      </c>
      <c r="EL56" s="23" t="n">
        <f aca="false">EL27</f>
        <v>0</v>
      </c>
      <c r="EM56" s="23" t="n">
        <f aca="false">EM27</f>
        <v>0</v>
      </c>
      <c r="EN56" s="23" t="n">
        <f aca="false">EN27</f>
        <v>0</v>
      </c>
      <c r="EO56" s="23" t="n">
        <f aca="false">EO27</f>
        <v>0</v>
      </c>
      <c r="EP56" s="23" t="n">
        <f aca="false">EP27</f>
        <v>0</v>
      </c>
      <c r="EQ56" s="23" t="n">
        <f aca="false">EQ27</f>
        <v>0</v>
      </c>
      <c r="ER56" s="23" t="n">
        <f aca="false">ER27</f>
        <v>0</v>
      </c>
      <c r="ES56" s="23" t="n">
        <f aca="false">ES27</f>
        <v>0</v>
      </c>
      <c r="ET56" s="23" t="n">
        <f aca="false">ET27</f>
        <v>0</v>
      </c>
      <c r="EU56" s="23" t="n">
        <f aca="false">EU27</f>
        <v>0</v>
      </c>
      <c r="EV56" s="23" t="n">
        <f aca="false">EV27</f>
        <v>0</v>
      </c>
      <c r="EW56" s="23" t="n">
        <f aca="false">EW27</f>
        <v>0</v>
      </c>
      <c r="EX56" s="23" t="n">
        <f aca="false">EX27</f>
        <v>0</v>
      </c>
      <c r="EY56" s="23" t="n">
        <f aca="false">EY27</f>
        <v>0</v>
      </c>
      <c r="EZ56" s="23" t="n">
        <f aca="false">EZ27</f>
        <v>0</v>
      </c>
      <c r="FA56" s="23" t="n">
        <f aca="false">FA27</f>
        <v>0</v>
      </c>
      <c r="FB56" s="23" t="n">
        <f aca="false">FB27</f>
        <v>0</v>
      </c>
      <c r="FC56" s="23" t="n">
        <f aca="false">FC27</f>
        <v>0</v>
      </c>
      <c r="FD56" s="23" t="n">
        <f aca="false">FD27</f>
        <v>0</v>
      </c>
      <c r="FE56" s="23" t="n">
        <f aca="false">FE27</f>
        <v>0</v>
      </c>
      <c r="FF56" s="23" t="n">
        <f aca="false">FF27</f>
        <v>0</v>
      </c>
      <c r="FG56" s="23" t="n">
        <f aca="false">FG27</f>
        <v>0</v>
      </c>
      <c r="FH56" s="23" t="n">
        <f aca="false">FH27</f>
        <v>0</v>
      </c>
      <c r="FI56" s="23" t="n">
        <f aca="false">FI27</f>
        <v>0</v>
      </c>
      <c r="FJ56" s="23" t="n">
        <f aca="false">FJ27</f>
        <v>0</v>
      </c>
      <c r="FK56" s="23" t="n">
        <f aca="false">FK27</f>
        <v>0</v>
      </c>
    </row>
    <row r="57" customFormat="false" ht="15" hidden="false" customHeight="true" outlineLevel="0" collapsed="false">
      <c r="D57" s="21" t="s">
        <v>86</v>
      </c>
      <c r="E57" s="7" t="s">
        <v>28</v>
      </c>
      <c r="F57" s="22" t="n">
        <f aca="false">SUM(H57:FK57)</f>
        <v>-194400000</v>
      </c>
      <c r="H57" s="23" t="n">
        <f aca="false">-(H55*(InterestRate/4))</f>
        <v>-0</v>
      </c>
      <c r="I57" s="23" t="n">
        <f aca="false">-(I55*(InterestRate/4))</f>
        <v>-1518750</v>
      </c>
      <c r="J57" s="23" t="n">
        <f aca="false">-(J55*(InterestRate/4))</f>
        <v>-3037500</v>
      </c>
      <c r="K57" s="23" t="n">
        <f aca="false">-(K55*(InterestRate/4))</f>
        <v>-4556250</v>
      </c>
      <c r="L57" s="23" t="n">
        <f aca="false">-(L55*(InterestRate/4))</f>
        <v>-6075000</v>
      </c>
      <c r="M57" s="23" t="n">
        <f aca="false">-(M55*(InterestRate/4))</f>
        <v>-5973750</v>
      </c>
      <c r="N57" s="23" t="n">
        <f aca="false">-(N55*(InterestRate/4))</f>
        <v>-5872500</v>
      </c>
      <c r="O57" s="23" t="n">
        <f aca="false">-(O55*(InterestRate/4))</f>
        <v>-5771250</v>
      </c>
      <c r="P57" s="23" t="n">
        <f aca="false">-(P55*(InterestRate/4))</f>
        <v>-5670000</v>
      </c>
      <c r="Q57" s="23" t="n">
        <f aca="false">-(Q55*(InterestRate/4))</f>
        <v>-5568750</v>
      </c>
      <c r="R57" s="23" t="n">
        <f aca="false">-(R55*(InterestRate/4))</f>
        <v>-5467500</v>
      </c>
      <c r="S57" s="23" t="n">
        <f aca="false">-(S55*(InterestRate/4))</f>
        <v>-5366250</v>
      </c>
      <c r="T57" s="23" t="n">
        <f aca="false">-(T55*(InterestRate/4))</f>
        <v>-5265000</v>
      </c>
      <c r="U57" s="23" t="n">
        <f aca="false">-(U55*(InterestRate/4))</f>
        <v>-5163750</v>
      </c>
      <c r="V57" s="23" t="n">
        <f aca="false">-(V55*(InterestRate/4))</f>
        <v>-5062500</v>
      </c>
      <c r="W57" s="23" t="n">
        <f aca="false">-(W55*(InterestRate/4))</f>
        <v>-4961250</v>
      </c>
      <c r="X57" s="23" t="n">
        <f aca="false">-(X55*(InterestRate/4))</f>
        <v>-4860000</v>
      </c>
      <c r="Y57" s="23" t="n">
        <f aca="false">-(Y55*(InterestRate/4))</f>
        <v>-4758750</v>
      </c>
      <c r="Z57" s="23" t="n">
        <f aca="false">-(Z55*(InterestRate/4))</f>
        <v>-4657500</v>
      </c>
      <c r="AA57" s="23" t="n">
        <f aca="false">-(AA55*(InterestRate/4))</f>
        <v>-4556250</v>
      </c>
      <c r="AB57" s="23" t="n">
        <f aca="false">-(AB55*(InterestRate/4))</f>
        <v>-4455000</v>
      </c>
      <c r="AC57" s="23" t="n">
        <f aca="false">-(AC55*(InterestRate/4))</f>
        <v>-4353750</v>
      </c>
      <c r="AD57" s="23" t="n">
        <f aca="false">-(AD55*(InterestRate/4))</f>
        <v>-4252500</v>
      </c>
      <c r="AE57" s="23" t="n">
        <f aca="false">-(AE55*(InterestRate/4))</f>
        <v>-4151250</v>
      </c>
      <c r="AF57" s="23" t="n">
        <f aca="false">-(AF55*(InterestRate/4))</f>
        <v>-4050000</v>
      </c>
      <c r="AG57" s="23" t="n">
        <f aca="false">-(AG55*(InterestRate/4))</f>
        <v>-3948750</v>
      </c>
      <c r="AH57" s="23" t="n">
        <f aca="false">-(AH55*(InterestRate/4))</f>
        <v>-3847500</v>
      </c>
      <c r="AI57" s="23" t="n">
        <f aca="false">-(AI55*(InterestRate/4))</f>
        <v>-3746250</v>
      </c>
      <c r="AJ57" s="23" t="n">
        <f aca="false">-(AJ55*(InterestRate/4))</f>
        <v>-3645000</v>
      </c>
      <c r="AK57" s="23" t="n">
        <f aca="false">-(AK55*(InterestRate/4))</f>
        <v>-3543750</v>
      </c>
      <c r="AL57" s="23" t="n">
        <f aca="false">-(AL55*(InterestRate/4))</f>
        <v>-3442500</v>
      </c>
      <c r="AM57" s="23" t="n">
        <f aca="false">-(AM55*(InterestRate/4))</f>
        <v>-3341250</v>
      </c>
      <c r="AN57" s="23" t="n">
        <f aca="false">-(AN55*(InterestRate/4))</f>
        <v>-3240000</v>
      </c>
      <c r="AO57" s="23" t="n">
        <f aca="false">-(AO55*(InterestRate/4))</f>
        <v>-3138750</v>
      </c>
      <c r="AP57" s="23" t="n">
        <f aca="false">-(AP55*(InterestRate/4))</f>
        <v>-3037500</v>
      </c>
      <c r="AQ57" s="23" t="n">
        <f aca="false">-(AQ55*(InterestRate/4))</f>
        <v>-2936250</v>
      </c>
      <c r="AR57" s="23" t="n">
        <f aca="false">-(AR55*(InterestRate/4))</f>
        <v>-2835000</v>
      </c>
      <c r="AS57" s="23" t="n">
        <f aca="false">-(AS55*(InterestRate/4))</f>
        <v>-2733750</v>
      </c>
      <c r="AT57" s="23" t="n">
        <f aca="false">-(AT55*(InterestRate/4))</f>
        <v>-2632500</v>
      </c>
      <c r="AU57" s="23" t="n">
        <f aca="false">-(AU55*(InterestRate/4))</f>
        <v>-2531250</v>
      </c>
      <c r="AV57" s="23" t="n">
        <f aca="false">-(AV55*(InterestRate/4))</f>
        <v>-2430000</v>
      </c>
      <c r="AW57" s="23" t="n">
        <f aca="false">-(AW55*(InterestRate/4))</f>
        <v>-2328750</v>
      </c>
      <c r="AX57" s="23" t="n">
        <f aca="false">-(AX55*(InterestRate/4))</f>
        <v>-2227500</v>
      </c>
      <c r="AY57" s="23" t="n">
        <f aca="false">-(AY55*(InterestRate/4))</f>
        <v>-2126250</v>
      </c>
      <c r="AZ57" s="23" t="n">
        <f aca="false">-(AZ55*(InterestRate/4))</f>
        <v>-2025000</v>
      </c>
      <c r="BA57" s="23" t="n">
        <f aca="false">-(BA55*(InterestRate/4))</f>
        <v>-1923750</v>
      </c>
      <c r="BB57" s="23" t="n">
        <f aca="false">-(BB55*(InterestRate/4))</f>
        <v>-1822500</v>
      </c>
      <c r="BC57" s="23" t="n">
        <f aca="false">-(BC55*(InterestRate/4))</f>
        <v>-1721250</v>
      </c>
      <c r="BD57" s="23" t="n">
        <f aca="false">-(BD55*(InterestRate/4))</f>
        <v>-1620000</v>
      </c>
      <c r="BE57" s="23" t="n">
        <f aca="false">-(BE55*(InterestRate/4))</f>
        <v>-1518750</v>
      </c>
      <c r="BF57" s="23" t="n">
        <f aca="false">-(BF55*(InterestRate/4))</f>
        <v>-1417500</v>
      </c>
      <c r="BG57" s="23" t="n">
        <f aca="false">-(BG55*(InterestRate/4))</f>
        <v>-1316250</v>
      </c>
      <c r="BH57" s="23" t="n">
        <f aca="false">-(BH55*(InterestRate/4))</f>
        <v>-1215000</v>
      </c>
      <c r="BI57" s="23" t="n">
        <f aca="false">-(BI55*(InterestRate/4))</f>
        <v>-1113750</v>
      </c>
      <c r="BJ57" s="23" t="n">
        <f aca="false">-(BJ55*(InterestRate/4))</f>
        <v>-1012500</v>
      </c>
      <c r="BK57" s="23" t="n">
        <f aca="false">-(BK55*(InterestRate/4))</f>
        <v>-911250</v>
      </c>
      <c r="BL57" s="23" t="n">
        <f aca="false">-(BL55*(InterestRate/4))</f>
        <v>-810000</v>
      </c>
      <c r="BM57" s="23" t="n">
        <f aca="false">-(BM55*(InterestRate/4))</f>
        <v>-708750</v>
      </c>
      <c r="BN57" s="23" t="n">
        <f aca="false">-(BN55*(InterestRate/4))</f>
        <v>-607500</v>
      </c>
      <c r="BO57" s="23" t="n">
        <f aca="false">-(BO55*(InterestRate/4))</f>
        <v>-506250</v>
      </c>
      <c r="BP57" s="23" t="n">
        <f aca="false">-(BP55*(InterestRate/4))</f>
        <v>-405000</v>
      </c>
      <c r="BQ57" s="23" t="n">
        <f aca="false">-(BQ55*(InterestRate/4))</f>
        <v>-303750</v>
      </c>
      <c r="BR57" s="23" t="n">
        <f aca="false">-(BR55*(InterestRate/4))</f>
        <v>-202500</v>
      </c>
      <c r="BS57" s="23" t="n">
        <f aca="false">-(BS55*(InterestRate/4))</f>
        <v>-101250</v>
      </c>
      <c r="BT57" s="23" t="n">
        <f aca="false">-(BT55*(InterestRate/4))</f>
        <v>-0</v>
      </c>
      <c r="BU57" s="23" t="n">
        <f aca="false">-(BU55*(InterestRate/4))</f>
        <v>-0</v>
      </c>
      <c r="BV57" s="23" t="n">
        <f aca="false">-(BV55*(InterestRate/4))</f>
        <v>-0</v>
      </c>
      <c r="BW57" s="23" t="n">
        <f aca="false">-(BW55*(InterestRate/4))</f>
        <v>-0</v>
      </c>
      <c r="BX57" s="23" t="n">
        <f aca="false">-(BX55*(InterestRate/4))</f>
        <v>-0</v>
      </c>
      <c r="BY57" s="23" t="n">
        <f aca="false">-(BY55*(InterestRate/4))</f>
        <v>-0</v>
      </c>
      <c r="BZ57" s="23" t="n">
        <f aca="false">-(BZ55*(InterestRate/4))</f>
        <v>-0</v>
      </c>
      <c r="CA57" s="23" t="n">
        <f aca="false">-(CA55*(InterestRate/4))</f>
        <v>-0</v>
      </c>
      <c r="CB57" s="23" t="n">
        <f aca="false">-(CB55*(InterestRate/4))</f>
        <v>-0</v>
      </c>
      <c r="CC57" s="23" t="n">
        <f aca="false">-(CC55*(InterestRate/4))</f>
        <v>-0</v>
      </c>
      <c r="CD57" s="23" t="n">
        <f aca="false">-(CD55*(InterestRate/4))</f>
        <v>-0</v>
      </c>
      <c r="CE57" s="23" t="n">
        <f aca="false">-(CE55*(InterestRate/4))</f>
        <v>-0</v>
      </c>
      <c r="CF57" s="23" t="n">
        <f aca="false">-(CF55*(InterestRate/4))</f>
        <v>-0</v>
      </c>
      <c r="CG57" s="23" t="n">
        <f aca="false">-(CG55*(InterestRate/4))</f>
        <v>-0</v>
      </c>
      <c r="CH57" s="23" t="n">
        <f aca="false">-(CH55*(InterestRate/4))</f>
        <v>-0</v>
      </c>
      <c r="CI57" s="23" t="n">
        <f aca="false">-(CI55*(InterestRate/4))</f>
        <v>-0</v>
      </c>
      <c r="CJ57" s="23" t="n">
        <f aca="false">-(CJ55*(InterestRate/4))</f>
        <v>-0</v>
      </c>
      <c r="CK57" s="23" t="n">
        <f aca="false">-(CK55*(InterestRate/4))</f>
        <v>-0</v>
      </c>
      <c r="CL57" s="23" t="n">
        <f aca="false">-(CL55*(InterestRate/4))</f>
        <v>-0</v>
      </c>
      <c r="CM57" s="23" t="n">
        <f aca="false">-(CM55*(InterestRate/4))</f>
        <v>-0</v>
      </c>
      <c r="CN57" s="23" t="n">
        <f aca="false">-(CN55*(InterestRate/4))</f>
        <v>-0</v>
      </c>
      <c r="CO57" s="23" t="n">
        <f aca="false">-(CO55*(InterestRate/4))</f>
        <v>-0</v>
      </c>
      <c r="CP57" s="23" t="n">
        <f aca="false">-(CP55*(InterestRate/4))</f>
        <v>-0</v>
      </c>
      <c r="CQ57" s="23" t="n">
        <f aca="false">-(CQ55*(InterestRate/4))</f>
        <v>-0</v>
      </c>
      <c r="CR57" s="23" t="n">
        <f aca="false">-(CR55*(InterestRate/4))</f>
        <v>-0</v>
      </c>
      <c r="CS57" s="23" t="n">
        <f aca="false">-(CS55*(InterestRate/4))</f>
        <v>-0</v>
      </c>
      <c r="CT57" s="23" t="n">
        <f aca="false">-(CT55*(InterestRate/4))</f>
        <v>-0</v>
      </c>
      <c r="CU57" s="23" t="n">
        <f aca="false">-(CU55*(InterestRate/4))</f>
        <v>-0</v>
      </c>
      <c r="CV57" s="23" t="n">
        <f aca="false">-(CV55*(InterestRate/4))</f>
        <v>-0</v>
      </c>
      <c r="CW57" s="23" t="n">
        <f aca="false">-(CW55*(InterestRate/4))</f>
        <v>-0</v>
      </c>
      <c r="CX57" s="23" t="n">
        <f aca="false">-(CX55*(InterestRate/4))</f>
        <v>-0</v>
      </c>
      <c r="CY57" s="23" t="n">
        <f aca="false">-(CY55*(InterestRate/4))</f>
        <v>-0</v>
      </c>
      <c r="CZ57" s="23" t="n">
        <f aca="false">-(CZ55*(InterestRate/4))</f>
        <v>-0</v>
      </c>
      <c r="DA57" s="23" t="n">
        <f aca="false">-(DA55*(InterestRate/4))</f>
        <v>-0</v>
      </c>
      <c r="DB57" s="23" t="n">
        <f aca="false">-(DB55*(InterestRate/4))</f>
        <v>-0</v>
      </c>
      <c r="DC57" s="23" t="n">
        <f aca="false">-(DC55*(InterestRate/4))</f>
        <v>-0</v>
      </c>
      <c r="DD57" s="23" t="n">
        <f aca="false">-(DD55*(InterestRate/4))</f>
        <v>-0</v>
      </c>
      <c r="DE57" s="23" t="n">
        <f aca="false">-(DE55*(InterestRate/4))</f>
        <v>-0</v>
      </c>
      <c r="DF57" s="23" t="n">
        <f aca="false">-(DF55*(InterestRate/4))</f>
        <v>-0</v>
      </c>
      <c r="DG57" s="23" t="n">
        <f aca="false">-(DG55*(InterestRate/4))</f>
        <v>-0</v>
      </c>
      <c r="DH57" s="23" t="n">
        <f aca="false">-(DH55*(InterestRate/4))</f>
        <v>-0</v>
      </c>
      <c r="DI57" s="23" t="n">
        <f aca="false">-(DI55*(InterestRate/4))</f>
        <v>-0</v>
      </c>
      <c r="DJ57" s="23" t="n">
        <f aca="false">-(DJ55*(InterestRate/4))</f>
        <v>-0</v>
      </c>
      <c r="DK57" s="23" t="n">
        <f aca="false">-(DK55*(InterestRate/4))</f>
        <v>-0</v>
      </c>
      <c r="DL57" s="23" t="n">
        <f aca="false">-(DL55*(InterestRate/4))</f>
        <v>-0</v>
      </c>
      <c r="DM57" s="23" t="n">
        <f aca="false">-(DM55*(InterestRate/4))</f>
        <v>-0</v>
      </c>
      <c r="DN57" s="23" t="n">
        <f aca="false">-(DN55*(InterestRate/4))</f>
        <v>-0</v>
      </c>
      <c r="DO57" s="23" t="n">
        <f aca="false">-(DO55*(InterestRate/4))</f>
        <v>-0</v>
      </c>
      <c r="DP57" s="23" t="n">
        <f aca="false">-(DP55*(InterestRate/4))</f>
        <v>-0</v>
      </c>
      <c r="DQ57" s="23" t="n">
        <f aca="false">-(DQ55*(InterestRate/4))</f>
        <v>-0</v>
      </c>
      <c r="DR57" s="23" t="n">
        <f aca="false">-(DR55*(InterestRate/4))</f>
        <v>-0</v>
      </c>
      <c r="DS57" s="23" t="n">
        <f aca="false">-(DS55*(InterestRate/4))</f>
        <v>-0</v>
      </c>
      <c r="DT57" s="23" t="n">
        <f aca="false">-(DT55*(InterestRate/4))</f>
        <v>-0</v>
      </c>
      <c r="DU57" s="23" t="n">
        <f aca="false">-(DU55*(InterestRate/4))</f>
        <v>-0</v>
      </c>
      <c r="DV57" s="23" t="n">
        <f aca="false">-(DV55*(InterestRate/4))</f>
        <v>-0</v>
      </c>
      <c r="DW57" s="23" t="n">
        <f aca="false">-(DW55*(InterestRate/4))</f>
        <v>-0</v>
      </c>
      <c r="DX57" s="23" t="n">
        <f aca="false">-(DX55*(InterestRate/4))</f>
        <v>-0</v>
      </c>
      <c r="DY57" s="23" t="n">
        <f aca="false">-(DY55*(InterestRate/4))</f>
        <v>-0</v>
      </c>
      <c r="DZ57" s="23" t="n">
        <f aca="false">-(DZ55*(InterestRate/4))</f>
        <v>-0</v>
      </c>
      <c r="EA57" s="23" t="n">
        <f aca="false">-(EA55*(InterestRate/4))</f>
        <v>-0</v>
      </c>
      <c r="EB57" s="23" t="n">
        <f aca="false">-(EB55*(InterestRate/4))</f>
        <v>-0</v>
      </c>
      <c r="EC57" s="23" t="n">
        <f aca="false">-(EC55*(InterestRate/4))</f>
        <v>-0</v>
      </c>
      <c r="ED57" s="23" t="n">
        <f aca="false">-(ED55*(InterestRate/4))</f>
        <v>-0</v>
      </c>
      <c r="EE57" s="23" t="n">
        <f aca="false">-(EE55*(InterestRate/4))</f>
        <v>-0</v>
      </c>
      <c r="EF57" s="23" t="n">
        <f aca="false">-(EF55*(InterestRate/4))</f>
        <v>-0</v>
      </c>
      <c r="EG57" s="23" t="n">
        <f aca="false">-(EG55*(InterestRate/4))</f>
        <v>-0</v>
      </c>
      <c r="EH57" s="23" t="n">
        <f aca="false">-(EH55*(InterestRate/4))</f>
        <v>-0</v>
      </c>
      <c r="EI57" s="23" t="n">
        <f aca="false">-(EI55*(InterestRate/4))</f>
        <v>-0</v>
      </c>
      <c r="EJ57" s="23" t="n">
        <f aca="false">-(EJ55*(InterestRate/4))</f>
        <v>-0</v>
      </c>
      <c r="EK57" s="23" t="n">
        <f aca="false">-(EK55*(InterestRate/4))</f>
        <v>-0</v>
      </c>
      <c r="EL57" s="23" t="n">
        <f aca="false">-(EL55*(InterestRate/4))</f>
        <v>-0</v>
      </c>
      <c r="EM57" s="23" t="n">
        <f aca="false">-(EM55*(InterestRate/4))</f>
        <v>-0</v>
      </c>
      <c r="EN57" s="23" t="n">
        <f aca="false">-(EN55*(InterestRate/4))</f>
        <v>-0</v>
      </c>
      <c r="EO57" s="23" t="n">
        <f aca="false">-(EO55*(InterestRate/4))</f>
        <v>-0</v>
      </c>
      <c r="EP57" s="23" t="n">
        <f aca="false">-(EP55*(InterestRate/4))</f>
        <v>-0</v>
      </c>
      <c r="EQ57" s="23" t="n">
        <f aca="false">-(EQ55*(InterestRate/4))</f>
        <v>-0</v>
      </c>
      <c r="ER57" s="23" t="n">
        <f aca="false">-(ER55*(InterestRate/4))</f>
        <v>-0</v>
      </c>
      <c r="ES57" s="23" t="n">
        <f aca="false">-(ES55*(InterestRate/4))</f>
        <v>-0</v>
      </c>
      <c r="ET57" s="23" t="n">
        <f aca="false">-(ET55*(InterestRate/4))</f>
        <v>-0</v>
      </c>
      <c r="EU57" s="23" t="n">
        <f aca="false">-(EU55*(InterestRate/4))</f>
        <v>-0</v>
      </c>
      <c r="EV57" s="23" t="n">
        <f aca="false">-(EV55*(InterestRate/4))</f>
        <v>-0</v>
      </c>
      <c r="EW57" s="23" t="n">
        <f aca="false">-(EW55*(InterestRate/4))</f>
        <v>-0</v>
      </c>
      <c r="EX57" s="23" t="n">
        <f aca="false">-(EX55*(InterestRate/4))</f>
        <v>-0</v>
      </c>
      <c r="EY57" s="23" t="n">
        <f aca="false">-(EY55*(InterestRate/4))</f>
        <v>-0</v>
      </c>
      <c r="EZ57" s="23" t="n">
        <f aca="false">-(EZ55*(InterestRate/4))</f>
        <v>-0</v>
      </c>
      <c r="FA57" s="23" t="n">
        <f aca="false">-(FA55*(InterestRate/4))</f>
        <v>-0</v>
      </c>
      <c r="FB57" s="23" t="n">
        <f aca="false">-(FB55*(InterestRate/4))</f>
        <v>-0</v>
      </c>
      <c r="FC57" s="23" t="n">
        <f aca="false">-(FC55*(InterestRate/4))</f>
        <v>-0</v>
      </c>
      <c r="FD57" s="23" t="n">
        <f aca="false">-(FD55*(InterestRate/4))</f>
        <v>-0</v>
      </c>
      <c r="FE57" s="23" t="n">
        <f aca="false">-(FE55*(InterestRate/4))</f>
        <v>-0</v>
      </c>
      <c r="FF57" s="23" t="n">
        <f aca="false">-(FF55*(InterestRate/4))</f>
        <v>-0</v>
      </c>
      <c r="FG57" s="23" t="n">
        <f aca="false">-(FG55*(InterestRate/4))</f>
        <v>-0</v>
      </c>
      <c r="FH57" s="23" t="n">
        <f aca="false">-(FH55*(InterestRate/4))</f>
        <v>-0</v>
      </c>
      <c r="FI57" s="23" t="n">
        <f aca="false">-(FI55*(InterestRate/4))</f>
        <v>-0</v>
      </c>
      <c r="FJ57" s="23" t="n">
        <f aca="false">-(FJ55*(InterestRate/4))</f>
        <v>-0</v>
      </c>
      <c r="FK57" s="23" t="n">
        <f aca="false">-(FK55*(InterestRate/4))</f>
        <v>-0</v>
      </c>
    </row>
    <row r="58" customFormat="false" ht="15" hidden="false" customHeight="true" outlineLevel="0" collapsed="false">
      <c r="D58" s="21" t="s">
        <v>103</v>
      </c>
      <c r="E58" s="7" t="s">
        <v>28</v>
      </c>
      <c r="F58" s="22" t="n">
        <f aca="false">SUM(H58:FK58)</f>
        <v>-270000000</v>
      </c>
      <c r="H58" s="23" t="n">
        <f aca="false">IF(H54=TRUE(),-TotalDebt/(DebtTenorYears*QuartersPerYear),0)</f>
        <v>0</v>
      </c>
      <c r="I58" s="23" t="n">
        <f aca="false">IF(I54=TRUE(),-TotalDebt/(DebtTenorYears*QuartersPerYear),0)</f>
        <v>0</v>
      </c>
      <c r="J58" s="23" t="n">
        <f aca="false">IF(J54=TRUE(),-TotalDebt/(DebtTenorYears*QuartersPerYear),0)</f>
        <v>0</v>
      </c>
      <c r="K58" s="23" t="n">
        <f aca="false">IF(K54=TRUE(),-TotalDebt/(DebtTenorYears*QuartersPerYear),0)</f>
        <v>0</v>
      </c>
      <c r="L58" s="23" t="n">
        <f aca="false">IF(L54=TRUE(),-TotalDebt/(DebtTenorYears*QuartersPerYear),0)</f>
        <v>-4500000</v>
      </c>
      <c r="M58" s="23" t="n">
        <f aca="false">IF(M54=TRUE(),-TotalDebt/(DebtTenorYears*QuartersPerYear),0)</f>
        <v>-4500000</v>
      </c>
      <c r="N58" s="23" t="n">
        <f aca="false">IF(N54=TRUE(),-TotalDebt/(DebtTenorYears*QuartersPerYear),0)</f>
        <v>-4500000</v>
      </c>
      <c r="O58" s="23" t="n">
        <f aca="false">IF(O54=TRUE(),-TotalDebt/(DebtTenorYears*QuartersPerYear),0)</f>
        <v>-4500000</v>
      </c>
      <c r="P58" s="23" t="n">
        <f aca="false">IF(P54=TRUE(),-TotalDebt/(DebtTenorYears*QuartersPerYear),0)</f>
        <v>-4500000</v>
      </c>
      <c r="Q58" s="23" t="n">
        <f aca="false">IF(Q54=TRUE(),-TotalDebt/(DebtTenorYears*QuartersPerYear),0)</f>
        <v>-4500000</v>
      </c>
      <c r="R58" s="23" t="n">
        <f aca="false">IF(R54=TRUE(),-TotalDebt/(DebtTenorYears*QuartersPerYear),0)</f>
        <v>-4500000</v>
      </c>
      <c r="S58" s="23" t="n">
        <f aca="false">IF(S54=TRUE(),-TotalDebt/(DebtTenorYears*QuartersPerYear),0)</f>
        <v>-4500000</v>
      </c>
      <c r="T58" s="23" t="n">
        <f aca="false">IF(T54=TRUE(),-TotalDebt/(DebtTenorYears*QuartersPerYear),0)</f>
        <v>-4500000</v>
      </c>
      <c r="U58" s="23" t="n">
        <f aca="false">IF(U54=TRUE(),-TotalDebt/(DebtTenorYears*QuartersPerYear),0)</f>
        <v>-4500000</v>
      </c>
      <c r="V58" s="23" t="n">
        <f aca="false">IF(V54=TRUE(),-TotalDebt/(DebtTenorYears*QuartersPerYear),0)</f>
        <v>-4500000</v>
      </c>
      <c r="W58" s="23" t="n">
        <f aca="false">IF(W54=TRUE(),-TotalDebt/(DebtTenorYears*QuartersPerYear),0)</f>
        <v>-4500000</v>
      </c>
      <c r="X58" s="23" t="n">
        <f aca="false">IF(X54=TRUE(),-TotalDebt/(DebtTenorYears*QuartersPerYear),0)</f>
        <v>-4500000</v>
      </c>
      <c r="Y58" s="23" t="n">
        <f aca="false">IF(Y54=TRUE(),-TotalDebt/(DebtTenorYears*QuartersPerYear),0)</f>
        <v>-4500000</v>
      </c>
      <c r="Z58" s="23" t="n">
        <f aca="false">IF(Z54=TRUE(),-TotalDebt/(DebtTenorYears*QuartersPerYear),0)</f>
        <v>-4500000</v>
      </c>
      <c r="AA58" s="23" t="n">
        <f aca="false">IF(AA54=TRUE(),-TotalDebt/(DebtTenorYears*QuartersPerYear),0)</f>
        <v>-4500000</v>
      </c>
      <c r="AB58" s="23" t="n">
        <f aca="false">IF(AB54=TRUE(),-TotalDebt/(DebtTenorYears*QuartersPerYear),0)</f>
        <v>-4500000</v>
      </c>
      <c r="AC58" s="23" t="n">
        <f aca="false">IF(AC54=TRUE(),-TotalDebt/(DebtTenorYears*QuartersPerYear),0)</f>
        <v>-4500000</v>
      </c>
      <c r="AD58" s="23" t="n">
        <f aca="false">IF(AD54=TRUE(),-TotalDebt/(DebtTenorYears*QuartersPerYear),0)</f>
        <v>-4500000</v>
      </c>
      <c r="AE58" s="23" t="n">
        <f aca="false">IF(AE54=TRUE(),-TotalDebt/(DebtTenorYears*QuartersPerYear),0)</f>
        <v>-4500000</v>
      </c>
      <c r="AF58" s="23" t="n">
        <f aca="false">IF(AF54=TRUE(),-TotalDebt/(DebtTenorYears*QuartersPerYear),0)</f>
        <v>-4500000</v>
      </c>
      <c r="AG58" s="23" t="n">
        <f aca="false">IF(AG54=TRUE(),-TotalDebt/(DebtTenorYears*QuartersPerYear),0)</f>
        <v>-4500000</v>
      </c>
      <c r="AH58" s="23" t="n">
        <f aca="false">IF(AH54=TRUE(),-TotalDebt/(DebtTenorYears*QuartersPerYear),0)</f>
        <v>-4500000</v>
      </c>
      <c r="AI58" s="23" t="n">
        <f aca="false">IF(AI54=TRUE(),-TotalDebt/(DebtTenorYears*QuartersPerYear),0)</f>
        <v>-4500000</v>
      </c>
      <c r="AJ58" s="23" t="n">
        <f aca="false">IF(AJ54=TRUE(),-TotalDebt/(DebtTenorYears*QuartersPerYear),0)</f>
        <v>-4500000</v>
      </c>
      <c r="AK58" s="23" t="n">
        <f aca="false">IF(AK54=TRUE(),-TotalDebt/(DebtTenorYears*QuartersPerYear),0)</f>
        <v>-4500000</v>
      </c>
      <c r="AL58" s="23" t="n">
        <f aca="false">IF(AL54=TRUE(),-TotalDebt/(DebtTenorYears*QuartersPerYear),0)</f>
        <v>-4500000</v>
      </c>
      <c r="AM58" s="23" t="n">
        <f aca="false">IF(AM54=TRUE(),-TotalDebt/(DebtTenorYears*QuartersPerYear),0)</f>
        <v>-4500000</v>
      </c>
      <c r="AN58" s="23" t="n">
        <f aca="false">IF(AN54=TRUE(),-TotalDebt/(DebtTenorYears*QuartersPerYear),0)</f>
        <v>-4500000</v>
      </c>
      <c r="AO58" s="23" t="n">
        <f aca="false">IF(AO54=TRUE(),-TotalDebt/(DebtTenorYears*QuartersPerYear),0)</f>
        <v>-4500000</v>
      </c>
      <c r="AP58" s="23" t="n">
        <f aca="false">IF(AP54=TRUE(),-TotalDebt/(DebtTenorYears*QuartersPerYear),0)</f>
        <v>-4500000</v>
      </c>
      <c r="AQ58" s="23" t="n">
        <f aca="false">IF(AQ54=TRUE(),-TotalDebt/(DebtTenorYears*QuartersPerYear),0)</f>
        <v>-4500000</v>
      </c>
      <c r="AR58" s="23" t="n">
        <f aca="false">IF(AR54=TRUE(),-TotalDebt/(DebtTenorYears*QuartersPerYear),0)</f>
        <v>-4500000</v>
      </c>
      <c r="AS58" s="23" t="n">
        <f aca="false">IF(AS54=TRUE(),-TotalDebt/(DebtTenorYears*QuartersPerYear),0)</f>
        <v>-4500000</v>
      </c>
      <c r="AT58" s="23" t="n">
        <f aca="false">IF(AT54=TRUE(),-TotalDebt/(DebtTenorYears*QuartersPerYear),0)</f>
        <v>-4500000</v>
      </c>
      <c r="AU58" s="23" t="n">
        <f aca="false">IF(AU54=TRUE(),-TotalDebt/(DebtTenorYears*QuartersPerYear),0)</f>
        <v>-4500000</v>
      </c>
      <c r="AV58" s="23" t="n">
        <f aca="false">IF(AV54=TRUE(),-TotalDebt/(DebtTenorYears*QuartersPerYear),0)</f>
        <v>-4500000</v>
      </c>
      <c r="AW58" s="23" t="n">
        <f aca="false">IF(AW54=TRUE(),-TotalDebt/(DebtTenorYears*QuartersPerYear),0)</f>
        <v>-4500000</v>
      </c>
      <c r="AX58" s="23" t="n">
        <f aca="false">IF(AX54=TRUE(),-TotalDebt/(DebtTenorYears*QuartersPerYear),0)</f>
        <v>-4500000</v>
      </c>
      <c r="AY58" s="23" t="n">
        <f aca="false">IF(AY54=TRUE(),-TotalDebt/(DebtTenorYears*QuartersPerYear),0)</f>
        <v>-4500000</v>
      </c>
      <c r="AZ58" s="23" t="n">
        <f aca="false">IF(AZ54=TRUE(),-TotalDebt/(DebtTenorYears*QuartersPerYear),0)</f>
        <v>-4500000</v>
      </c>
      <c r="BA58" s="23" t="n">
        <f aca="false">IF(BA54=TRUE(),-TotalDebt/(DebtTenorYears*QuartersPerYear),0)</f>
        <v>-4500000</v>
      </c>
      <c r="BB58" s="23" t="n">
        <f aca="false">IF(BB54=TRUE(),-TotalDebt/(DebtTenorYears*QuartersPerYear),0)</f>
        <v>-4500000</v>
      </c>
      <c r="BC58" s="23" t="n">
        <f aca="false">IF(BC54=TRUE(),-TotalDebt/(DebtTenorYears*QuartersPerYear),0)</f>
        <v>-4500000</v>
      </c>
      <c r="BD58" s="23" t="n">
        <f aca="false">IF(BD54=TRUE(),-TotalDebt/(DebtTenorYears*QuartersPerYear),0)</f>
        <v>-4500000</v>
      </c>
      <c r="BE58" s="23" t="n">
        <f aca="false">IF(BE54=TRUE(),-TotalDebt/(DebtTenorYears*QuartersPerYear),0)</f>
        <v>-4500000</v>
      </c>
      <c r="BF58" s="23" t="n">
        <f aca="false">IF(BF54=TRUE(),-TotalDebt/(DebtTenorYears*QuartersPerYear),0)</f>
        <v>-4500000</v>
      </c>
      <c r="BG58" s="23" t="n">
        <f aca="false">IF(BG54=TRUE(),-TotalDebt/(DebtTenorYears*QuartersPerYear),0)</f>
        <v>-4500000</v>
      </c>
      <c r="BH58" s="23" t="n">
        <f aca="false">IF(BH54=TRUE(),-TotalDebt/(DebtTenorYears*QuartersPerYear),0)</f>
        <v>-4500000</v>
      </c>
      <c r="BI58" s="23" t="n">
        <f aca="false">IF(BI54=TRUE(),-TotalDebt/(DebtTenorYears*QuartersPerYear),0)</f>
        <v>-4500000</v>
      </c>
      <c r="BJ58" s="23" t="n">
        <f aca="false">IF(BJ54=TRUE(),-TotalDebt/(DebtTenorYears*QuartersPerYear),0)</f>
        <v>-4500000</v>
      </c>
      <c r="BK58" s="23" t="n">
        <f aca="false">IF(BK54=TRUE(),-TotalDebt/(DebtTenorYears*QuartersPerYear),0)</f>
        <v>-4500000</v>
      </c>
      <c r="BL58" s="23" t="n">
        <f aca="false">IF(BL54=TRUE(),-TotalDebt/(DebtTenorYears*QuartersPerYear),0)</f>
        <v>-4500000</v>
      </c>
      <c r="BM58" s="23" t="n">
        <f aca="false">IF(BM54=TRUE(),-TotalDebt/(DebtTenorYears*QuartersPerYear),0)</f>
        <v>-4500000</v>
      </c>
      <c r="BN58" s="23" t="n">
        <f aca="false">IF(BN54=TRUE(),-TotalDebt/(DebtTenorYears*QuartersPerYear),0)</f>
        <v>-4500000</v>
      </c>
      <c r="BO58" s="23" t="n">
        <f aca="false">IF(BO54=TRUE(),-TotalDebt/(DebtTenorYears*QuartersPerYear),0)</f>
        <v>-4500000</v>
      </c>
      <c r="BP58" s="23" t="n">
        <f aca="false">IF(BP54=TRUE(),-TotalDebt/(DebtTenorYears*QuartersPerYear),0)</f>
        <v>-4500000</v>
      </c>
      <c r="BQ58" s="23" t="n">
        <f aca="false">IF(BQ54=TRUE(),-TotalDebt/(DebtTenorYears*QuartersPerYear),0)</f>
        <v>-4500000</v>
      </c>
      <c r="BR58" s="23" t="n">
        <f aca="false">IF(BR54=TRUE(),-TotalDebt/(DebtTenorYears*QuartersPerYear),0)</f>
        <v>-4500000</v>
      </c>
      <c r="BS58" s="23" t="n">
        <f aca="false">IF(BS54=TRUE(),-TotalDebt/(DebtTenorYears*QuartersPerYear),0)</f>
        <v>-4500000</v>
      </c>
      <c r="BT58" s="23" t="n">
        <f aca="false">IF(BT54=TRUE(),-TotalDebt/(DebtTenorYears*QuartersPerYear),0)</f>
        <v>0</v>
      </c>
      <c r="BU58" s="23" t="n">
        <f aca="false">IF(BU54=TRUE(),-TotalDebt/(DebtTenorYears*QuartersPerYear),0)</f>
        <v>0</v>
      </c>
      <c r="BV58" s="23" t="n">
        <f aca="false">IF(BV54=TRUE(),-TotalDebt/(DebtTenorYears*QuartersPerYear),0)</f>
        <v>0</v>
      </c>
      <c r="BW58" s="23" t="n">
        <f aca="false">IF(BW54=TRUE(),-TotalDebt/(DebtTenorYears*QuartersPerYear),0)</f>
        <v>0</v>
      </c>
      <c r="BX58" s="23" t="n">
        <f aca="false">IF(BX54=TRUE(),-TotalDebt/(DebtTenorYears*QuartersPerYear),0)</f>
        <v>0</v>
      </c>
      <c r="BY58" s="23" t="n">
        <f aca="false">IF(BY54=TRUE(),-TotalDebt/(DebtTenorYears*QuartersPerYear),0)</f>
        <v>0</v>
      </c>
      <c r="BZ58" s="23" t="n">
        <f aca="false">IF(BZ54=TRUE(),-TotalDebt/(DebtTenorYears*QuartersPerYear),0)</f>
        <v>0</v>
      </c>
      <c r="CA58" s="23" t="n">
        <f aca="false">IF(CA54=TRUE(),-TotalDebt/(DebtTenorYears*QuartersPerYear),0)</f>
        <v>0</v>
      </c>
      <c r="CB58" s="23" t="n">
        <f aca="false">IF(CB54=TRUE(),-TotalDebt/(DebtTenorYears*QuartersPerYear),0)</f>
        <v>0</v>
      </c>
      <c r="CC58" s="23" t="n">
        <f aca="false">IF(CC54=TRUE(),-TotalDebt/(DebtTenorYears*QuartersPerYear),0)</f>
        <v>0</v>
      </c>
      <c r="CD58" s="23" t="n">
        <f aca="false">IF(CD54=TRUE(),-TotalDebt/(DebtTenorYears*QuartersPerYear),0)</f>
        <v>0</v>
      </c>
      <c r="CE58" s="23" t="n">
        <f aca="false">IF(CE54=TRUE(),-TotalDebt/(DebtTenorYears*QuartersPerYear),0)</f>
        <v>0</v>
      </c>
      <c r="CF58" s="23" t="n">
        <f aca="false">IF(CF54=TRUE(),-TotalDebt/(DebtTenorYears*QuartersPerYear),0)</f>
        <v>0</v>
      </c>
      <c r="CG58" s="23" t="n">
        <f aca="false">IF(CG54=TRUE(),-TotalDebt/(DebtTenorYears*QuartersPerYear),0)</f>
        <v>0</v>
      </c>
      <c r="CH58" s="23" t="n">
        <f aca="false">IF(CH54=TRUE(),-TotalDebt/(DebtTenorYears*QuartersPerYear),0)</f>
        <v>0</v>
      </c>
      <c r="CI58" s="23" t="n">
        <f aca="false">IF(CI54=TRUE(),-TotalDebt/(DebtTenorYears*QuartersPerYear),0)</f>
        <v>0</v>
      </c>
      <c r="CJ58" s="23" t="n">
        <f aca="false">IF(CJ54=TRUE(),-TotalDebt/(DebtTenorYears*QuartersPerYear),0)</f>
        <v>0</v>
      </c>
      <c r="CK58" s="23" t="n">
        <f aca="false">IF(CK54=TRUE(),-TotalDebt/(DebtTenorYears*QuartersPerYear),0)</f>
        <v>0</v>
      </c>
      <c r="CL58" s="23" t="n">
        <f aca="false">IF(CL54=TRUE(),-TotalDebt/(DebtTenorYears*QuartersPerYear),0)</f>
        <v>0</v>
      </c>
      <c r="CM58" s="23" t="n">
        <f aca="false">IF(CM54=TRUE(),-TotalDebt/(DebtTenorYears*QuartersPerYear),0)</f>
        <v>0</v>
      </c>
      <c r="CN58" s="23" t="n">
        <f aca="false">IF(CN54=TRUE(),-TotalDebt/(DebtTenorYears*QuartersPerYear),0)</f>
        <v>0</v>
      </c>
      <c r="CO58" s="23" t="n">
        <f aca="false">IF(CO54=TRUE(),-TotalDebt/(DebtTenorYears*QuartersPerYear),0)</f>
        <v>0</v>
      </c>
      <c r="CP58" s="23" t="n">
        <f aca="false">IF(CP54=TRUE(),-TotalDebt/(DebtTenorYears*QuartersPerYear),0)</f>
        <v>0</v>
      </c>
      <c r="CQ58" s="23" t="n">
        <f aca="false">IF(CQ54=TRUE(),-TotalDebt/(DebtTenorYears*QuartersPerYear),0)</f>
        <v>0</v>
      </c>
      <c r="CR58" s="23" t="n">
        <f aca="false">IF(CR54=TRUE(),-TotalDebt/(DebtTenorYears*QuartersPerYear),0)</f>
        <v>0</v>
      </c>
      <c r="CS58" s="23" t="n">
        <f aca="false">IF(CS54=TRUE(),-TotalDebt/(DebtTenorYears*QuartersPerYear),0)</f>
        <v>0</v>
      </c>
      <c r="CT58" s="23" t="n">
        <f aca="false">IF(CT54=TRUE(),-TotalDebt/(DebtTenorYears*QuartersPerYear),0)</f>
        <v>0</v>
      </c>
      <c r="CU58" s="23" t="n">
        <f aca="false">IF(CU54=TRUE(),-TotalDebt/(DebtTenorYears*QuartersPerYear),0)</f>
        <v>0</v>
      </c>
      <c r="CV58" s="23" t="n">
        <f aca="false">IF(CV54=TRUE(),-TotalDebt/(DebtTenorYears*QuartersPerYear),0)</f>
        <v>0</v>
      </c>
      <c r="CW58" s="23" t="n">
        <f aca="false">IF(CW54=TRUE(),-TotalDebt/(DebtTenorYears*QuartersPerYear),0)</f>
        <v>0</v>
      </c>
      <c r="CX58" s="23" t="n">
        <f aca="false">IF(CX54=TRUE(),-TotalDebt/(DebtTenorYears*QuartersPerYear),0)</f>
        <v>0</v>
      </c>
      <c r="CY58" s="23" t="n">
        <f aca="false">IF(CY54=TRUE(),-TotalDebt/(DebtTenorYears*QuartersPerYear),0)</f>
        <v>0</v>
      </c>
      <c r="CZ58" s="23" t="n">
        <f aca="false">IF(CZ54=TRUE(),-TotalDebt/(DebtTenorYears*QuartersPerYear),0)</f>
        <v>0</v>
      </c>
      <c r="DA58" s="23" t="n">
        <f aca="false">IF(DA54=TRUE(),-TotalDebt/(DebtTenorYears*QuartersPerYear),0)</f>
        <v>0</v>
      </c>
      <c r="DB58" s="23" t="n">
        <f aca="false">IF(DB54=TRUE(),-TotalDebt/(DebtTenorYears*QuartersPerYear),0)</f>
        <v>0</v>
      </c>
      <c r="DC58" s="23" t="n">
        <f aca="false">IF(DC54=TRUE(),-TotalDebt/(DebtTenorYears*QuartersPerYear),0)</f>
        <v>0</v>
      </c>
      <c r="DD58" s="23" t="n">
        <f aca="false">IF(DD54=TRUE(),-TotalDebt/(DebtTenorYears*QuartersPerYear),0)</f>
        <v>0</v>
      </c>
      <c r="DE58" s="23" t="n">
        <f aca="false">IF(DE54=TRUE(),-TotalDebt/(DebtTenorYears*QuartersPerYear),0)</f>
        <v>0</v>
      </c>
      <c r="DF58" s="23" t="n">
        <f aca="false">IF(DF54=TRUE(),-TotalDebt/(DebtTenorYears*QuartersPerYear),0)</f>
        <v>0</v>
      </c>
      <c r="DG58" s="23" t="n">
        <f aca="false">IF(DG54=TRUE(),-TotalDebt/(DebtTenorYears*QuartersPerYear),0)</f>
        <v>0</v>
      </c>
      <c r="DH58" s="23" t="n">
        <f aca="false">IF(DH54=TRUE(),-TotalDebt/(DebtTenorYears*QuartersPerYear),0)</f>
        <v>0</v>
      </c>
      <c r="DI58" s="23" t="n">
        <f aca="false">IF(DI54=TRUE(),-TotalDebt/(DebtTenorYears*QuartersPerYear),0)</f>
        <v>0</v>
      </c>
      <c r="DJ58" s="23" t="n">
        <f aca="false">IF(DJ54=TRUE(),-TotalDebt/(DebtTenorYears*QuartersPerYear),0)</f>
        <v>0</v>
      </c>
      <c r="DK58" s="23" t="n">
        <f aca="false">IF(DK54=TRUE(),-TotalDebt/(DebtTenorYears*QuartersPerYear),0)</f>
        <v>0</v>
      </c>
      <c r="DL58" s="23" t="n">
        <f aca="false">IF(DL54=TRUE(),-TotalDebt/(DebtTenorYears*QuartersPerYear),0)</f>
        <v>0</v>
      </c>
      <c r="DM58" s="23" t="n">
        <f aca="false">IF(DM54=TRUE(),-TotalDebt/(DebtTenorYears*QuartersPerYear),0)</f>
        <v>0</v>
      </c>
      <c r="DN58" s="23" t="n">
        <f aca="false">IF(DN54=TRUE(),-TotalDebt/(DebtTenorYears*QuartersPerYear),0)</f>
        <v>0</v>
      </c>
      <c r="DO58" s="23" t="n">
        <f aca="false">IF(DO54=TRUE(),-TotalDebt/(DebtTenorYears*QuartersPerYear),0)</f>
        <v>0</v>
      </c>
      <c r="DP58" s="23" t="n">
        <f aca="false">IF(DP54=TRUE(),-TotalDebt/(DebtTenorYears*QuartersPerYear),0)</f>
        <v>0</v>
      </c>
      <c r="DQ58" s="23" t="n">
        <f aca="false">IF(DQ54=TRUE(),-TotalDebt/(DebtTenorYears*QuartersPerYear),0)</f>
        <v>0</v>
      </c>
      <c r="DR58" s="23" t="n">
        <f aca="false">IF(DR54=TRUE(),-TotalDebt/(DebtTenorYears*QuartersPerYear),0)</f>
        <v>0</v>
      </c>
      <c r="DS58" s="23" t="n">
        <f aca="false">IF(DS54=TRUE(),-TotalDebt/(DebtTenorYears*QuartersPerYear),0)</f>
        <v>0</v>
      </c>
      <c r="DT58" s="23" t="n">
        <f aca="false">IF(DT54=TRUE(),-TotalDebt/(DebtTenorYears*QuartersPerYear),0)</f>
        <v>0</v>
      </c>
      <c r="DU58" s="23" t="n">
        <f aca="false">IF(DU54=TRUE(),-TotalDebt/(DebtTenorYears*QuartersPerYear),0)</f>
        <v>0</v>
      </c>
      <c r="DV58" s="23" t="n">
        <f aca="false">IF(DV54=TRUE(),-TotalDebt/(DebtTenorYears*QuartersPerYear),0)</f>
        <v>0</v>
      </c>
      <c r="DW58" s="23" t="n">
        <f aca="false">IF(DW54=TRUE(),-TotalDebt/(DebtTenorYears*QuartersPerYear),0)</f>
        <v>0</v>
      </c>
      <c r="DX58" s="23" t="n">
        <f aca="false">IF(DX54=TRUE(),-TotalDebt/(DebtTenorYears*QuartersPerYear),0)</f>
        <v>0</v>
      </c>
      <c r="DY58" s="23" t="n">
        <f aca="false">IF(DY54=TRUE(),-TotalDebt/(DebtTenorYears*QuartersPerYear),0)</f>
        <v>0</v>
      </c>
      <c r="DZ58" s="23" t="n">
        <f aca="false">IF(DZ54=TRUE(),-TotalDebt/(DebtTenorYears*QuartersPerYear),0)</f>
        <v>0</v>
      </c>
      <c r="EA58" s="23" t="n">
        <f aca="false">IF(EA54=TRUE(),-TotalDebt/(DebtTenorYears*QuartersPerYear),0)</f>
        <v>0</v>
      </c>
      <c r="EB58" s="23" t="n">
        <f aca="false">IF(EB54=TRUE(),-TotalDebt/(DebtTenorYears*QuartersPerYear),0)</f>
        <v>0</v>
      </c>
      <c r="EC58" s="23" t="n">
        <f aca="false">IF(EC54=TRUE(),-TotalDebt/(DebtTenorYears*QuartersPerYear),0)</f>
        <v>0</v>
      </c>
      <c r="ED58" s="23" t="n">
        <f aca="false">IF(ED54=TRUE(),-TotalDebt/(DebtTenorYears*QuartersPerYear),0)</f>
        <v>0</v>
      </c>
      <c r="EE58" s="23" t="n">
        <f aca="false">IF(EE54=TRUE(),-TotalDebt/(DebtTenorYears*QuartersPerYear),0)</f>
        <v>0</v>
      </c>
      <c r="EF58" s="23" t="n">
        <f aca="false">IF(EF54=TRUE(),-TotalDebt/(DebtTenorYears*QuartersPerYear),0)</f>
        <v>0</v>
      </c>
      <c r="EG58" s="23" t="n">
        <f aca="false">IF(EG54=TRUE(),-TotalDebt/(DebtTenorYears*QuartersPerYear),0)</f>
        <v>0</v>
      </c>
      <c r="EH58" s="23" t="n">
        <f aca="false">IF(EH54=TRUE(),-TotalDebt/(DebtTenorYears*QuartersPerYear),0)</f>
        <v>0</v>
      </c>
      <c r="EI58" s="23" t="n">
        <f aca="false">IF(EI54=TRUE(),-TotalDebt/(DebtTenorYears*QuartersPerYear),0)</f>
        <v>0</v>
      </c>
      <c r="EJ58" s="23" t="n">
        <f aca="false">IF(EJ54=TRUE(),-TotalDebt/(DebtTenorYears*QuartersPerYear),0)</f>
        <v>0</v>
      </c>
      <c r="EK58" s="23" t="n">
        <f aca="false">IF(EK54=TRUE(),-TotalDebt/(DebtTenorYears*QuartersPerYear),0)</f>
        <v>0</v>
      </c>
      <c r="EL58" s="23" t="n">
        <f aca="false">IF(EL54=TRUE(),-TotalDebt/(DebtTenorYears*QuartersPerYear),0)</f>
        <v>0</v>
      </c>
      <c r="EM58" s="23" t="n">
        <f aca="false">IF(EM54=TRUE(),-TotalDebt/(DebtTenorYears*QuartersPerYear),0)</f>
        <v>0</v>
      </c>
      <c r="EN58" s="23" t="n">
        <f aca="false">IF(EN54=TRUE(),-TotalDebt/(DebtTenorYears*QuartersPerYear),0)</f>
        <v>0</v>
      </c>
      <c r="EO58" s="23" t="n">
        <f aca="false">IF(EO54=TRUE(),-TotalDebt/(DebtTenorYears*QuartersPerYear),0)</f>
        <v>0</v>
      </c>
      <c r="EP58" s="23" t="n">
        <f aca="false">IF(EP54=TRUE(),-TotalDebt/(DebtTenorYears*QuartersPerYear),0)</f>
        <v>0</v>
      </c>
      <c r="EQ58" s="23" t="n">
        <f aca="false">IF(EQ54=TRUE(),-TotalDebt/(DebtTenorYears*QuartersPerYear),0)</f>
        <v>0</v>
      </c>
      <c r="ER58" s="23" t="n">
        <f aca="false">IF(ER54=TRUE(),-TotalDebt/(DebtTenorYears*QuartersPerYear),0)</f>
        <v>0</v>
      </c>
      <c r="ES58" s="23" t="n">
        <f aca="false">IF(ES54=TRUE(),-TotalDebt/(DebtTenorYears*QuartersPerYear),0)</f>
        <v>0</v>
      </c>
      <c r="ET58" s="23" t="n">
        <f aca="false">IF(ET54=TRUE(),-TotalDebt/(DebtTenorYears*QuartersPerYear),0)</f>
        <v>0</v>
      </c>
      <c r="EU58" s="23" t="n">
        <f aca="false">IF(EU54=TRUE(),-TotalDebt/(DebtTenorYears*QuartersPerYear),0)</f>
        <v>0</v>
      </c>
      <c r="EV58" s="23" t="n">
        <f aca="false">IF(EV54=TRUE(),-TotalDebt/(DebtTenorYears*QuartersPerYear),0)</f>
        <v>0</v>
      </c>
      <c r="EW58" s="23" t="n">
        <f aca="false">IF(EW54=TRUE(),-TotalDebt/(DebtTenorYears*QuartersPerYear),0)</f>
        <v>0</v>
      </c>
      <c r="EX58" s="23" t="n">
        <f aca="false">IF(EX54=TRUE(),-TotalDebt/(DebtTenorYears*QuartersPerYear),0)</f>
        <v>0</v>
      </c>
      <c r="EY58" s="23" t="n">
        <f aca="false">IF(EY54=TRUE(),-TotalDebt/(DebtTenorYears*QuartersPerYear),0)</f>
        <v>0</v>
      </c>
      <c r="EZ58" s="23" t="n">
        <f aca="false">IF(EZ54=TRUE(),-TotalDebt/(DebtTenorYears*QuartersPerYear),0)</f>
        <v>0</v>
      </c>
      <c r="FA58" s="23" t="n">
        <f aca="false">IF(FA54=TRUE(),-TotalDebt/(DebtTenorYears*QuartersPerYear),0)</f>
        <v>0</v>
      </c>
      <c r="FB58" s="23" t="n">
        <f aca="false">IF(FB54=TRUE(),-TotalDebt/(DebtTenorYears*QuartersPerYear),0)</f>
        <v>0</v>
      </c>
      <c r="FC58" s="23" t="n">
        <f aca="false">IF(FC54=TRUE(),-TotalDebt/(DebtTenorYears*QuartersPerYear),0)</f>
        <v>0</v>
      </c>
      <c r="FD58" s="23" t="n">
        <f aca="false">IF(FD54=TRUE(),-TotalDebt/(DebtTenorYears*QuartersPerYear),0)</f>
        <v>0</v>
      </c>
      <c r="FE58" s="23" t="n">
        <f aca="false">IF(FE54=TRUE(),-TotalDebt/(DebtTenorYears*QuartersPerYear),0)</f>
        <v>0</v>
      </c>
      <c r="FF58" s="23" t="n">
        <f aca="false">IF(FF54=TRUE(),-TotalDebt/(DebtTenorYears*QuartersPerYear),0)</f>
        <v>0</v>
      </c>
      <c r="FG58" s="23" t="n">
        <f aca="false">IF(FG54=TRUE(),-TotalDebt/(DebtTenorYears*QuartersPerYear),0)</f>
        <v>0</v>
      </c>
      <c r="FH58" s="23" t="n">
        <f aca="false">IF(FH54=TRUE(),-TotalDebt/(DebtTenorYears*QuartersPerYear),0)</f>
        <v>0</v>
      </c>
      <c r="FI58" s="23" t="n">
        <f aca="false">IF(FI54=TRUE(),-TotalDebt/(DebtTenorYears*QuartersPerYear),0)</f>
        <v>0</v>
      </c>
      <c r="FJ58" s="23" t="n">
        <f aca="false">IF(FJ54=TRUE(),-TotalDebt/(DebtTenorYears*QuartersPerYear),0)</f>
        <v>0</v>
      </c>
      <c r="FK58" s="23" t="n">
        <f aca="false">IF(FK54=TRUE(),-TotalDebt/(DebtTenorYears*QuartersPerYear),0)</f>
        <v>0</v>
      </c>
    </row>
    <row r="59" customFormat="false" ht="15" hidden="false" customHeight="true" outlineLevel="0" collapsed="false">
      <c r="D59" s="21" t="s">
        <v>104</v>
      </c>
      <c r="E59" s="7" t="s">
        <v>28</v>
      </c>
      <c r="H59" s="23" t="n">
        <f aca="false">H55+H56+H58</f>
        <v>67500000</v>
      </c>
      <c r="I59" s="23" t="n">
        <f aca="false">I55+I56+I58</f>
        <v>135000000</v>
      </c>
      <c r="J59" s="23" t="n">
        <f aca="false">J55+J56+J58</f>
        <v>202500000</v>
      </c>
      <c r="K59" s="23" t="n">
        <f aca="false">K55+K56+K58</f>
        <v>270000000</v>
      </c>
      <c r="L59" s="23" t="n">
        <f aca="false">L55+L56+L58</f>
        <v>265500000</v>
      </c>
      <c r="M59" s="23" t="n">
        <f aca="false">M55+M56+M58</f>
        <v>261000000</v>
      </c>
      <c r="N59" s="23" t="n">
        <f aca="false">N55+N56+N58</f>
        <v>256500000</v>
      </c>
      <c r="O59" s="23" t="n">
        <f aca="false">O55+O56+O58</f>
        <v>252000000</v>
      </c>
      <c r="P59" s="23" t="n">
        <f aca="false">P55+P56+P58</f>
        <v>247500000</v>
      </c>
      <c r="Q59" s="23" t="n">
        <f aca="false">Q55+Q56+Q58</f>
        <v>243000000</v>
      </c>
      <c r="R59" s="23" t="n">
        <f aca="false">R55+R56+R58</f>
        <v>238500000</v>
      </c>
      <c r="S59" s="23" t="n">
        <f aca="false">S55+S56+S58</f>
        <v>234000000</v>
      </c>
      <c r="T59" s="23" t="n">
        <f aca="false">T55+T56+T58</f>
        <v>229500000</v>
      </c>
      <c r="U59" s="23" t="n">
        <f aca="false">U55+U56+U58</f>
        <v>225000000</v>
      </c>
      <c r="V59" s="23" t="n">
        <f aca="false">V55+V56+V58</f>
        <v>220500000</v>
      </c>
      <c r="W59" s="23" t="n">
        <f aca="false">W55+W56+W58</f>
        <v>216000000</v>
      </c>
      <c r="X59" s="23" t="n">
        <f aca="false">X55+X56+X58</f>
        <v>211500000</v>
      </c>
      <c r="Y59" s="23" t="n">
        <f aca="false">Y55+Y56+Y58</f>
        <v>207000000</v>
      </c>
      <c r="Z59" s="23" t="n">
        <f aca="false">Z55+Z56+Z58</f>
        <v>202500000</v>
      </c>
      <c r="AA59" s="23" t="n">
        <f aca="false">AA55+AA56+AA58</f>
        <v>198000000</v>
      </c>
      <c r="AB59" s="23" t="n">
        <f aca="false">AB55+AB56+AB58</f>
        <v>193500000</v>
      </c>
      <c r="AC59" s="23" t="n">
        <f aca="false">AC55+AC56+AC58</f>
        <v>189000000</v>
      </c>
      <c r="AD59" s="23" t="n">
        <f aca="false">AD55+AD56+AD58</f>
        <v>184500000</v>
      </c>
      <c r="AE59" s="23" t="n">
        <f aca="false">AE55+AE56+AE58</f>
        <v>180000000</v>
      </c>
      <c r="AF59" s="23" t="n">
        <f aca="false">AF55+AF56+AF58</f>
        <v>175500000</v>
      </c>
      <c r="AG59" s="23" t="n">
        <f aca="false">AG55+AG56+AG58</f>
        <v>171000000</v>
      </c>
      <c r="AH59" s="23" t="n">
        <f aca="false">AH55+AH56+AH58</f>
        <v>166500000</v>
      </c>
      <c r="AI59" s="23" t="n">
        <f aca="false">AI55+AI56+AI58</f>
        <v>162000000</v>
      </c>
      <c r="AJ59" s="23" t="n">
        <f aca="false">AJ55+AJ56+AJ58</f>
        <v>157500000</v>
      </c>
      <c r="AK59" s="23" t="n">
        <f aca="false">AK55+AK56+AK58</f>
        <v>153000000</v>
      </c>
      <c r="AL59" s="23" t="n">
        <f aca="false">AL55+AL56+AL58</f>
        <v>148500000</v>
      </c>
      <c r="AM59" s="23" t="n">
        <f aca="false">AM55+AM56+AM58</f>
        <v>144000000</v>
      </c>
      <c r="AN59" s="23" t="n">
        <f aca="false">AN55+AN56+AN58</f>
        <v>139500000</v>
      </c>
      <c r="AO59" s="23" t="n">
        <f aca="false">AO55+AO56+AO58</f>
        <v>135000000</v>
      </c>
      <c r="AP59" s="23" t="n">
        <f aca="false">AP55+AP56+AP58</f>
        <v>130500000</v>
      </c>
      <c r="AQ59" s="23" t="n">
        <f aca="false">AQ55+AQ56+AQ58</f>
        <v>126000000</v>
      </c>
      <c r="AR59" s="23" t="n">
        <f aca="false">AR55+AR56+AR58</f>
        <v>121500000</v>
      </c>
      <c r="AS59" s="23" t="n">
        <f aca="false">AS55+AS56+AS58</f>
        <v>117000000</v>
      </c>
      <c r="AT59" s="23" t="n">
        <f aca="false">AT55+AT56+AT58</f>
        <v>112500000</v>
      </c>
      <c r="AU59" s="23" t="n">
        <f aca="false">AU55+AU56+AU58</f>
        <v>108000000</v>
      </c>
      <c r="AV59" s="23" t="n">
        <f aca="false">AV55+AV56+AV58</f>
        <v>103500000</v>
      </c>
      <c r="AW59" s="23" t="n">
        <f aca="false">AW55+AW56+AW58</f>
        <v>99000000</v>
      </c>
      <c r="AX59" s="23" t="n">
        <f aca="false">AX55+AX56+AX58</f>
        <v>94500000</v>
      </c>
      <c r="AY59" s="23" t="n">
        <f aca="false">AY55+AY56+AY58</f>
        <v>90000000</v>
      </c>
      <c r="AZ59" s="23" t="n">
        <f aca="false">AZ55+AZ56+AZ58</f>
        <v>85500000</v>
      </c>
      <c r="BA59" s="23" t="n">
        <f aca="false">BA55+BA56+BA58</f>
        <v>81000000</v>
      </c>
      <c r="BB59" s="23" t="n">
        <f aca="false">BB55+BB56+BB58</f>
        <v>76500000</v>
      </c>
      <c r="BC59" s="23" t="n">
        <f aca="false">BC55+BC56+BC58</f>
        <v>72000000</v>
      </c>
      <c r="BD59" s="23" t="n">
        <f aca="false">BD55+BD56+BD58</f>
        <v>67500000</v>
      </c>
      <c r="BE59" s="23" t="n">
        <f aca="false">BE55+BE56+BE58</f>
        <v>63000000</v>
      </c>
      <c r="BF59" s="23" t="n">
        <f aca="false">BF55+BF56+BF58</f>
        <v>58500000</v>
      </c>
      <c r="BG59" s="23" t="n">
        <f aca="false">BG55+BG56+BG58</f>
        <v>54000000</v>
      </c>
      <c r="BH59" s="23" t="n">
        <f aca="false">BH55+BH56+BH58</f>
        <v>49500000</v>
      </c>
      <c r="BI59" s="23" t="n">
        <f aca="false">BI55+BI56+BI58</f>
        <v>45000000</v>
      </c>
      <c r="BJ59" s="23" t="n">
        <f aca="false">BJ55+BJ56+BJ58</f>
        <v>40500000</v>
      </c>
      <c r="BK59" s="23" t="n">
        <f aca="false">BK55+BK56+BK58</f>
        <v>36000000</v>
      </c>
      <c r="BL59" s="23" t="n">
        <f aca="false">BL55+BL56+BL58</f>
        <v>31500000</v>
      </c>
      <c r="BM59" s="23" t="n">
        <f aca="false">BM55+BM56+BM58</f>
        <v>27000000</v>
      </c>
      <c r="BN59" s="23" t="n">
        <f aca="false">BN55+BN56+BN58</f>
        <v>22500000</v>
      </c>
      <c r="BO59" s="23" t="n">
        <f aca="false">BO55+BO56+BO58</f>
        <v>18000000</v>
      </c>
      <c r="BP59" s="23" t="n">
        <f aca="false">BP55+BP56+BP58</f>
        <v>13500000</v>
      </c>
      <c r="BQ59" s="23" t="n">
        <f aca="false">BQ55+BQ56+BQ58</f>
        <v>9000000</v>
      </c>
      <c r="BR59" s="23" t="n">
        <f aca="false">BR55+BR56+BR58</f>
        <v>4500000</v>
      </c>
      <c r="BS59" s="23" t="n">
        <f aca="false">BS55+BS56+BS58</f>
        <v>0</v>
      </c>
      <c r="BT59" s="23" t="n">
        <f aca="false">BT55+BT56+BT58</f>
        <v>0</v>
      </c>
      <c r="BU59" s="23" t="n">
        <f aca="false">BU55+BU56+BU58</f>
        <v>0</v>
      </c>
      <c r="BV59" s="23" t="n">
        <f aca="false">BV55+BV56+BV58</f>
        <v>0</v>
      </c>
      <c r="BW59" s="23" t="n">
        <f aca="false">BW55+BW56+BW58</f>
        <v>0</v>
      </c>
      <c r="BX59" s="23" t="n">
        <f aca="false">BX55+BX56+BX58</f>
        <v>0</v>
      </c>
      <c r="BY59" s="23" t="n">
        <f aca="false">BY55+BY56+BY58</f>
        <v>0</v>
      </c>
      <c r="BZ59" s="23" t="n">
        <f aca="false">BZ55+BZ56+BZ58</f>
        <v>0</v>
      </c>
      <c r="CA59" s="23" t="n">
        <f aca="false">CA55+CA56+CA58</f>
        <v>0</v>
      </c>
      <c r="CB59" s="23" t="n">
        <f aca="false">CB55+CB56+CB58</f>
        <v>0</v>
      </c>
      <c r="CC59" s="23" t="n">
        <f aca="false">CC55+CC56+CC58</f>
        <v>0</v>
      </c>
      <c r="CD59" s="23" t="n">
        <f aca="false">CD55+CD56+CD58</f>
        <v>0</v>
      </c>
      <c r="CE59" s="23" t="n">
        <f aca="false">CE55+CE56+CE58</f>
        <v>0</v>
      </c>
      <c r="CF59" s="23" t="n">
        <f aca="false">CF55+CF56+CF58</f>
        <v>0</v>
      </c>
      <c r="CG59" s="23" t="n">
        <f aca="false">CG55+CG56+CG58</f>
        <v>0</v>
      </c>
      <c r="CH59" s="23" t="n">
        <f aca="false">CH55+CH56+CH58</f>
        <v>0</v>
      </c>
      <c r="CI59" s="23" t="n">
        <f aca="false">CI55+CI56+CI58</f>
        <v>0</v>
      </c>
      <c r="CJ59" s="23" t="n">
        <f aca="false">CJ55+CJ56+CJ58</f>
        <v>0</v>
      </c>
      <c r="CK59" s="23" t="n">
        <f aca="false">CK55+CK56+CK58</f>
        <v>0</v>
      </c>
      <c r="CL59" s="23" t="n">
        <f aca="false">CL55+CL56+CL58</f>
        <v>0</v>
      </c>
      <c r="CM59" s="23" t="n">
        <f aca="false">CM55+CM56+CM58</f>
        <v>0</v>
      </c>
      <c r="CN59" s="23" t="n">
        <f aca="false">CN55+CN56+CN58</f>
        <v>0</v>
      </c>
      <c r="CO59" s="23" t="n">
        <f aca="false">CO55+CO56+CO58</f>
        <v>0</v>
      </c>
      <c r="CP59" s="23" t="n">
        <f aca="false">CP55+CP56+CP58</f>
        <v>0</v>
      </c>
      <c r="CQ59" s="23" t="n">
        <f aca="false">CQ55+CQ56+CQ58</f>
        <v>0</v>
      </c>
      <c r="CR59" s="23" t="n">
        <f aca="false">CR55+CR56+CR58</f>
        <v>0</v>
      </c>
      <c r="CS59" s="23" t="n">
        <f aca="false">CS55+CS56+CS58</f>
        <v>0</v>
      </c>
      <c r="CT59" s="23" t="n">
        <f aca="false">CT55+CT56+CT58</f>
        <v>0</v>
      </c>
      <c r="CU59" s="23" t="n">
        <f aca="false">CU55+CU56+CU58</f>
        <v>0</v>
      </c>
      <c r="CV59" s="23" t="n">
        <f aca="false">CV55+CV56+CV58</f>
        <v>0</v>
      </c>
      <c r="CW59" s="23" t="n">
        <f aca="false">CW55+CW56+CW58</f>
        <v>0</v>
      </c>
      <c r="CX59" s="23" t="n">
        <f aca="false">CX55+CX56+CX58</f>
        <v>0</v>
      </c>
      <c r="CY59" s="23" t="n">
        <f aca="false">CY55+CY56+CY58</f>
        <v>0</v>
      </c>
      <c r="CZ59" s="23" t="n">
        <f aca="false">CZ55+CZ56+CZ58</f>
        <v>0</v>
      </c>
      <c r="DA59" s="23" t="n">
        <f aca="false">DA55+DA56+DA58</f>
        <v>0</v>
      </c>
      <c r="DB59" s="23" t="n">
        <f aca="false">DB55+DB56+DB58</f>
        <v>0</v>
      </c>
      <c r="DC59" s="23" t="n">
        <f aca="false">DC55+DC56+DC58</f>
        <v>0</v>
      </c>
      <c r="DD59" s="23" t="n">
        <f aca="false">DD55+DD56+DD58</f>
        <v>0</v>
      </c>
      <c r="DE59" s="23" t="n">
        <f aca="false">DE55+DE56+DE58</f>
        <v>0</v>
      </c>
      <c r="DF59" s="23" t="n">
        <f aca="false">DF55+DF56+DF58</f>
        <v>0</v>
      </c>
      <c r="DG59" s="23" t="n">
        <f aca="false">DG55+DG56+DG58</f>
        <v>0</v>
      </c>
      <c r="DH59" s="23" t="n">
        <f aca="false">DH55+DH56+DH58</f>
        <v>0</v>
      </c>
      <c r="DI59" s="23" t="n">
        <f aca="false">DI55+DI56+DI58</f>
        <v>0</v>
      </c>
      <c r="DJ59" s="23" t="n">
        <f aca="false">DJ55+DJ56+DJ58</f>
        <v>0</v>
      </c>
      <c r="DK59" s="23" t="n">
        <f aca="false">DK55+DK56+DK58</f>
        <v>0</v>
      </c>
      <c r="DL59" s="23" t="n">
        <f aca="false">DL55+DL56+DL58</f>
        <v>0</v>
      </c>
      <c r="DM59" s="23" t="n">
        <f aca="false">DM55+DM56+DM58</f>
        <v>0</v>
      </c>
      <c r="DN59" s="23" t="n">
        <f aca="false">DN55+DN56+DN58</f>
        <v>0</v>
      </c>
      <c r="DO59" s="23" t="n">
        <f aca="false">DO55+DO56+DO58</f>
        <v>0</v>
      </c>
      <c r="DP59" s="23" t="n">
        <f aca="false">DP55+DP56+DP58</f>
        <v>0</v>
      </c>
      <c r="DQ59" s="23" t="n">
        <f aca="false">DQ55+DQ56+DQ58</f>
        <v>0</v>
      </c>
      <c r="DR59" s="23" t="n">
        <f aca="false">DR55+DR56+DR58</f>
        <v>0</v>
      </c>
      <c r="DS59" s="23" t="n">
        <f aca="false">DS55+DS56+DS58</f>
        <v>0</v>
      </c>
      <c r="DT59" s="23" t="n">
        <f aca="false">DT55+DT56+DT58</f>
        <v>0</v>
      </c>
      <c r="DU59" s="23" t="n">
        <f aca="false">DU55+DU56+DU58</f>
        <v>0</v>
      </c>
      <c r="DV59" s="23" t="n">
        <f aca="false">DV55+DV56+DV58</f>
        <v>0</v>
      </c>
      <c r="DW59" s="23" t="n">
        <f aca="false">DW55+DW56+DW58</f>
        <v>0</v>
      </c>
      <c r="DX59" s="23" t="n">
        <f aca="false">DX55+DX56+DX58</f>
        <v>0</v>
      </c>
      <c r="DY59" s="23" t="n">
        <f aca="false">DY55+DY56+DY58</f>
        <v>0</v>
      </c>
      <c r="DZ59" s="23" t="n">
        <f aca="false">DZ55+DZ56+DZ58</f>
        <v>0</v>
      </c>
      <c r="EA59" s="23" t="n">
        <f aca="false">EA55+EA56+EA58</f>
        <v>0</v>
      </c>
      <c r="EB59" s="23" t="n">
        <f aca="false">EB55+EB56+EB58</f>
        <v>0</v>
      </c>
      <c r="EC59" s="23" t="n">
        <f aca="false">EC55+EC56+EC58</f>
        <v>0</v>
      </c>
      <c r="ED59" s="23" t="n">
        <f aca="false">ED55+ED56+ED58</f>
        <v>0</v>
      </c>
      <c r="EE59" s="23" t="n">
        <f aca="false">EE55+EE56+EE58</f>
        <v>0</v>
      </c>
      <c r="EF59" s="23" t="n">
        <f aca="false">EF55+EF56+EF58</f>
        <v>0</v>
      </c>
      <c r="EG59" s="23" t="n">
        <f aca="false">EG55+EG56+EG58</f>
        <v>0</v>
      </c>
      <c r="EH59" s="23" t="n">
        <f aca="false">EH55+EH56+EH58</f>
        <v>0</v>
      </c>
      <c r="EI59" s="23" t="n">
        <f aca="false">EI55+EI56+EI58</f>
        <v>0</v>
      </c>
      <c r="EJ59" s="23" t="n">
        <f aca="false">EJ55+EJ56+EJ58</f>
        <v>0</v>
      </c>
      <c r="EK59" s="23" t="n">
        <f aca="false">EK55+EK56+EK58</f>
        <v>0</v>
      </c>
      <c r="EL59" s="23" t="n">
        <f aca="false">EL55+EL56+EL58</f>
        <v>0</v>
      </c>
      <c r="EM59" s="23" t="n">
        <f aca="false">EM55+EM56+EM58</f>
        <v>0</v>
      </c>
      <c r="EN59" s="23" t="n">
        <f aca="false">EN55+EN56+EN58</f>
        <v>0</v>
      </c>
      <c r="EO59" s="23" t="n">
        <f aca="false">EO55+EO56+EO58</f>
        <v>0</v>
      </c>
      <c r="EP59" s="23" t="n">
        <f aca="false">EP55+EP56+EP58</f>
        <v>0</v>
      </c>
      <c r="EQ59" s="23" t="n">
        <f aca="false">EQ55+EQ56+EQ58</f>
        <v>0</v>
      </c>
      <c r="ER59" s="23" t="n">
        <f aca="false">ER55+ER56+ER58</f>
        <v>0</v>
      </c>
      <c r="ES59" s="23" t="n">
        <f aca="false">ES55+ES56+ES58</f>
        <v>0</v>
      </c>
      <c r="ET59" s="23" t="n">
        <f aca="false">ET55+ET56+ET58</f>
        <v>0</v>
      </c>
      <c r="EU59" s="23" t="n">
        <f aca="false">EU55+EU56+EU58</f>
        <v>0</v>
      </c>
      <c r="EV59" s="23" t="n">
        <f aca="false">EV55+EV56+EV58</f>
        <v>0</v>
      </c>
      <c r="EW59" s="23" t="n">
        <f aca="false">EW55+EW56+EW58</f>
        <v>0</v>
      </c>
      <c r="EX59" s="23" t="n">
        <f aca="false">EX55+EX56+EX58</f>
        <v>0</v>
      </c>
      <c r="EY59" s="23" t="n">
        <f aca="false">EY55+EY56+EY58</f>
        <v>0</v>
      </c>
      <c r="EZ59" s="23" t="n">
        <f aca="false">EZ55+EZ56+EZ58</f>
        <v>0</v>
      </c>
      <c r="FA59" s="23" t="n">
        <f aca="false">FA55+FA56+FA58</f>
        <v>0</v>
      </c>
      <c r="FB59" s="23" t="n">
        <f aca="false">FB55+FB56+FB58</f>
        <v>0</v>
      </c>
      <c r="FC59" s="23" t="n">
        <f aca="false">FC55+FC56+FC58</f>
        <v>0</v>
      </c>
      <c r="FD59" s="23" t="n">
        <f aca="false">FD55+FD56+FD58</f>
        <v>0</v>
      </c>
      <c r="FE59" s="23" t="n">
        <f aca="false">FE55+FE56+FE58</f>
        <v>0</v>
      </c>
      <c r="FF59" s="23" t="n">
        <f aca="false">FF55+FF56+FF58</f>
        <v>0</v>
      </c>
      <c r="FG59" s="23" t="n">
        <f aca="false">FG55+FG56+FG58</f>
        <v>0</v>
      </c>
      <c r="FH59" s="23" t="n">
        <f aca="false">FH55+FH56+FH58</f>
        <v>0</v>
      </c>
      <c r="FI59" s="23" t="n">
        <f aca="false">FI55+FI56+FI58</f>
        <v>0</v>
      </c>
      <c r="FJ59" s="23" t="n">
        <f aca="false">FJ55+FJ56+FJ58</f>
        <v>0</v>
      </c>
      <c r="FK59" s="23" t="n">
        <f aca="false">FK55+FK56+FK58</f>
        <v>0</v>
      </c>
    </row>
    <row r="61" customFormat="false" ht="15" hidden="false" customHeight="true" outlineLevel="0" collapsed="false">
      <c r="D61" s="20" t="s">
        <v>105</v>
      </c>
    </row>
    <row r="62" customFormat="false" ht="15" hidden="false" customHeight="true" outlineLevel="0" collapsed="false">
      <c r="D62" s="21" t="s">
        <v>100</v>
      </c>
      <c r="E62" s="7" t="s">
        <v>28</v>
      </c>
      <c r="H62" s="23" t="s">
        <v>101</v>
      </c>
      <c r="I62" s="23" t="n">
        <f aca="false">H65</f>
        <v>112500000</v>
      </c>
      <c r="J62" s="23" t="n">
        <f aca="false">I65</f>
        <v>225000000</v>
      </c>
      <c r="K62" s="23" t="n">
        <f aca="false">J65</f>
        <v>337500000</v>
      </c>
      <c r="L62" s="23" t="n">
        <f aca="false">K65</f>
        <v>450000000</v>
      </c>
      <c r="M62" s="23" t="n">
        <f aca="false">L65</f>
        <v>445500000</v>
      </c>
      <c r="N62" s="23" t="n">
        <f aca="false">M65</f>
        <v>441000000</v>
      </c>
      <c r="O62" s="23" t="n">
        <f aca="false">N65</f>
        <v>436500000</v>
      </c>
      <c r="P62" s="23" t="n">
        <f aca="false">O65</f>
        <v>432000000</v>
      </c>
      <c r="Q62" s="23" t="n">
        <f aca="false">P65</f>
        <v>427500000</v>
      </c>
      <c r="R62" s="23" t="n">
        <f aca="false">Q65</f>
        <v>423000000</v>
      </c>
      <c r="S62" s="23" t="n">
        <f aca="false">R65</f>
        <v>418500000</v>
      </c>
      <c r="T62" s="23" t="n">
        <f aca="false">S65</f>
        <v>414000000</v>
      </c>
      <c r="U62" s="23" t="n">
        <f aca="false">T65</f>
        <v>409500000</v>
      </c>
      <c r="V62" s="23" t="n">
        <f aca="false">U65</f>
        <v>405000000</v>
      </c>
      <c r="W62" s="23" t="n">
        <f aca="false">V65</f>
        <v>400500000</v>
      </c>
      <c r="X62" s="23" t="n">
        <f aca="false">W65</f>
        <v>396000000</v>
      </c>
      <c r="Y62" s="23" t="n">
        <f aca="false">X65</f>
        <v>391500000</v>
      </c>
      <c r="Z62" s="23" t="n">
        <f aca="false">Y65</f>
        <v>387000000</v>
      </c>
      <c r="AA62" s="23" t="n">
        <f aca="false">Z65</f>
        <v>382500000</v>
      </c>
      <c r="AB62" s="23" t="n">
        <f aca="false">AA65</f>
        <v>378000000</v>
      </c>
      <c r="AC62" s="23" t="n">
        <f aca="false">AB65</f>
        <v>373500000</v>
      </c>
      <c r="AD62" s="23" t="n">
        <f aca="false">AC65</f>
        <v>369000000</v>
      </c>
      <c r="AE62" s="23" t="n">
        <f aca="false">AD65</f>
        <v>364500000</v>
      </c>
      <c r="AF62" s="23" t="n">
        <f aca="false">AE65</f>
        <v>360000000</v>
      </c>
      <c r="AG62" s="23" t="n">
        <f aca="false">AF65</f>
        <v>355500000</v>
      </c>
      <c r="AH62" s="23" t="n">
        <f aca="false">AG65</f>
        <v>351000000</v>
      </c>
      <c r="AI62" s="23" t="n">
        <f aca="false">AH65</f>
        <v>346500000</v>
      </c>
      <c r="AJ62" s="23" t="n">
        <f aca="false">AI65</f>
        <v>342000000</v>
      </c>
      <c r="AK62" s="23" t="n">
        <f aca="false">AJ65</f>
        <v>337500000</v>
      </c>
      <c r="AL62" s="23" t="n">
        <f aca="false">AK65</f>
        <v>333000000</v>
      </c>
      <c r="AM62" s="23" t="n">
        <f aca="false">AL65</f>
        <v>328500000</v>
      </c>
      <c r="AN62" s="23" t="n">
        <f aca="false">AM65</f>
        <v>324000000</v>
      </c>
      <c r="AO62" s="23" t="n">
        <f aca="false">AN65</f>
        <v>319500000</v>
      </c>
      <c r="AP62" s="23" t="n">
        <f aca="false">AO65</f>
        <v>315000000</v>
      </c>
      <c r="AQ62" s="23" t="n">
        <f aca="false">AP65</f>
        <v>310500000</v>
      </c>
      <c r="AR62" s="23" t="n">
        <f aca="false">AQ65</f>
        <v>306000000</v>
      </c>
      <c r="AS62" s="23" t="n">
        <f aca="false">AR65</f>
        <v>301500000</v>
      </c>
      <c r="AT62" s="23" t="n">
        <f aca="false">AS65</f>
        <v>297000000</v>
      </c>
      <c r="AU62" s="23" t="n">
        <f aca="false">AT65</f>
        <v>292500000</v>
      </c>
      <c r="AV62" s="23" t="n">
        <f aca="false">AU65</f>
        <v>288000000</v>
      </c>
      <c r="AW62" s="23" t="n">
        <f aca="false">AV65</f>
        <v>283500000</v>
      </c>
      <c r="AX62" s="23" t="n">
        <f aca="false">AW65</f>
        <v>279000000</v>
      </c>
      <c r="AY62" s="23" t="n">
        <f aca="false">AX65</f>
        <v>274500000</v>
      </c>
      <c r="AZ62" s="23" t="n">
        <f aca="false">AY65</f>
        <v>270000000</v>
      </c>
      <c r="BA62" s="23" t="n">
        <f aca="false">AZ65</f>
        <v>265500000</v>
      </c>
      <c r="BB62" s="23" t="n">
        <f aca="false">BA65</f>
        <v>261000000</v>
      </c>
      <c r="BC62" s="23" t="n">
        <f aca="false">BB65</f>
        <v>256500000</v>
      </c>
      <c r="BD62" s="23" t="n">
        <f aca="false">BC65</f>
        <v>252000000</v>
      </c>
      <c r="BE62" s="23" t="n">
        <f aca="false">BD65</f>
        <v>247500000</v>
      </c>
      <c r="BF62" s="23" t="n">
        <f aca="false">BE65</f>
        <v>243000000</v>
      </c>
      <c r="BG62" s="23" t="n">
        <f aca="false">BF65</f>
        <v>238500000</v>
      </c>
      <c r="BH62" s="23" t="n">
        <f aca="false">BG65</f>
        <v>234000000</v>
      </c>
      <c r="BI62" s="23" t="n">
        <f aca="false">BH65</f>
        <v>229500000</v>
      </c>
      <c r="BJ62" s="23" t="n">
        <f aca="false">BI65</f>
        <v>225000000</v>
      </c>
      <c r="BK62" s="23" t="n">
        <f aca="false">BJ65</f>
        <v>220500000</v>
      </c>
      <c r="BL62" s="23" t="n">
        <f aca="false">BK65</f>
        <v>216000000</v>
      </c>
      <c r="BM62" s="23" t="n">
        <f aca="false">BL65</f>
        <v>211500000</v>
      </c>
      <c r="BN62" s="23" t="n">
        <f aca="false">BM65</f>
        <v>207000000</v>
      </c>
      <c r="BO62" s="23" t="n">
        <f aca="false">BN65</f>
        <v>202500000</v>
      </c>
      <c r="BP62" s="23" t="n">
        <f aca="false">BO65</f>
        <v>198000000</v>
      </c>
      <c r="BQ62" s="23" t="n">
        <f aca="false">BP65</f>
        <v>193500000</v>
      </c>
      <c r="BR62" s="23" t="n">
        <f aca="false">BQ65</f>
        <v>189000000</v>
      </c>
      <c r="BS62" s="23" t="n">
        <f aca="false">BR65</f>
        <v>184500000</v>
      </c>
      <c r="BT62" s="23" t="n">
        <f aca="false">BS65</f>
        <v>180000000</v>
      </c>
      <c r="BU62" s="23" t="n">
        <f aca="false">BT65</f>
        <v>175500000</v>
      </c>
      <c r="BV62" s="23" t="n">
        <f aca="false">BU65</f>
        <v>171000000</v>
      </c>
      <c r="BW62" s="23" t="n">
        <f aca="false">BV65</f>
        <v>166500000</v>
      </c>
      <c r="BX62" s="23" t="n">
        <f aca="false">BW65</f>
        <v>162000000</v>
      </c>
      <c r="BY62" s="23" t="n">
        <f aca="false">BX65</f>
        <v>157500000</v>
      </c>
      <c r="BZ62" s="23" t="n">
        <f aca="false">BY65</f>
        <v>153000000</v>
      </c>
      <c r="CA62" s="23" t="n">
        <f aca="false">BZ65</f>
        <v>148500000</v>
      </c>
      <c r="CB62" s="23" t="n">
        <f aca="false">CA65</f>
        <v>144000000</v>
      </c>
      <c r="CC62" s="23" t="n">
        <f aca="false">CB65</f>
        <v>139500000</v>
      </c>
      <c r="CD62" s="23" t="n">
        <f aca="false">CC65</f>
        <v>135000000</v>
      </c>
      <c r="CE62" s="23" t="n">
        <f aca="false">CD65</f>
        <v>130500000</v>
      </c>
      <c r="CF62" s="23" t="n">
        <f aca="false">CE65</f>
        <v>126000000</v>
      </c>
      <c r="CG62" s="23" t="n">
        <f aca="false">CF65</f>
        <v>121500000</v>
      </c>
      <c r="CH62" s="23" t="n">
        <f aca="false">CG65</f>
        <v>117000000</v>
      </c>
      <c r="CI62" s="23" t="n">
        <f aca="false">CH65</f>
        <v>112500000</v>
      </c>
      <c r="CJ62" s="23" t="n">
        <f aca="false">CI65</f>
        <v>108000000</v>
      </c>
      <c r="CK62" s="23" t="n">
        <f aca="false">CJ65</f>
        <v>103500000</v>
      </c>
      <c r="CL62" s="23" t="n">
        <f aca="false">CK65</f>
        <v>99000000</v>
      </c>
      <c r="CM62" s="23" t="n">
        <f aca="false">CL65</f>
        <v>94500000</v>
      </c>
      <c r="CN62" s="23" t="n">
        <f aca="false">CM65</f>
        <v>90000000</v>
      </c>
      <c r="CO62" s="23" t="n">
        <f aca="false">CN65</f>
        <v>85500000</v>
      </c>
      <c r="CP62" s="23" t="n">
        <f aca="false">CO65</f>
        <v>81000000</v>
      </c>
      <c r="CQ62" s="23" t="n">
        <f aca="false">CP65</f>
        <v>76500000</v>
      </c>
      <c r="CR62" s="23" t="n">
        <f aca="false">CQ65</f>
        <v>72000000</v>
      </c>
      <c r="CS62" s="23" t="n">
        <f aca="false">CR65</f>
        <v>67500000</v>
      </c>
      <c r="CT62" s="23" t="n">
        <f aca="false">CS65</f>
        <v>63000000</v>
      </c>
      <c r="CU62" s="23" t="n">
        <f aca="false">CT65</f>
        <v>58500000</v>
      </c>
      <c r="CV62" s="23" t="n">
        <f aca="false">CU65</f>
        <v>54000000</v>
      </c>
      <c r="CW62" s="23" t="n">
        <f aca="false">CV65</f>
        <v>49500000</v>
      </c>
      <c r="CX62" s="23" t="n">
        <f aca="false">CW65</f>
        <v>45000000</v>
      </c>
      <c r="CY62" s="23" t="n">
        <f aca="false">CX65</f>
        <v>40500000</v>
      </c>
      <c r="CZ62" s="23" t="n">
        <f aca="false">CY65</f>
        <v>36000000</v>
      </c>
      <c r="DA62" s="23" t="n">
        <f aca="false">CZ65</f>
        <v>31500000</v>
      </c>
      <c r="DB62" s="23" t="n">
        <f aca="false">DA65</f>
        <v>27000000</v>
      </c>
      <c r="DC62" s="23" t="n">
        <f aca="false">DB65</f>
        <v>22500000</v>
      </c>
      <c r="DD62" s="23" t="n">
        <f aca="false">DC65</f>
        <v>18000000</v>
      </c>
      <c r="DE62" s="23" t="n">
        <f aca="false">DD65</f>
        <v>13500000</v>
      </c>
      <c r="DF62" s="23" t="n">
        <f aca="false">DE65</f>
        <v>9000000</v>
      </c>
      <c r="DG62" s="23" t="n">
        <f aca="false">DF65</f>
        <v>4500000</v>
      </c>
      <c r="DH62" s="23" t="n">
        <f aca="false">DG65</f>
        <v>0</v>
      </c>
      <c r="DI62" s="23" t="n">
        <f aca="false">DH65</f>
        <v>0</v>
      </c>
      <c r="DJ62" s="23" t="n">
        <f aca="false">DI65</f>
        <v>0</v>
      </c>
      <c r="DK62" s="23" t="n">
        <f aca="false">DJ65</f>
        <v>0</v>
      </c>
      <c r="DL62" s="23" t="n">
        <f aca="false">DK65</f>
        <v>0</v>
      </c>
      <c r="DM62" s="23" t="n">
        <f aca="false">DL65</f>
        <v>0</v>
      </c>
      <c r="DN62" s="23" t="n">
        <f aca="false">DM65</f>
        <v>0</v>
      </c>
      <c r="DO62" s="23" t="n">
        <f aca="false">DN65</f>
        <v>0</v>
      </c>
      <c r="DP62" s="23" t="n">
        <f aca="false">DO65</f>
        <v>0</v>
      </c>
      <c r="DQ62" s="23" t="n">
        <f aca="false">DP65</f>
        <v>0</v>
      </c>
      <c r="DR62" s="23" t="n">
        <f aca="false">DQ65</f>
        <v>0</v>
      </c>
      <c r="DS62" s="23" t="n">
        <f aca="false">DR65</f>
        <v>0</v>
      </c>
      <c r="DT62" s="23" t="n">
        <f aca="false">DS65</f>
        <v>0</v>
      </c>
      <c r="DU62" s="23" t="n">
        <f aca="false">DT65</f>
        <v>0</v>
      </c>
      <c r="DV62" s="23" t="n">
        <f aca="false">DU65</f>
        <v>0</v>
      </c>
      <c r="DW62" s="23" t="n">
        <f aca="false">DV65</f>
        <v>0</v>
      </c>
      <c r="DX62" s="23" t="n">
        <f aca="false">DW65</f>
        <v>0</v>
      </c>
      <c r="DY62" s="23" t="n">
        <f aca="false">DX65</f>
        <v>0</v>
      </c>
      <c r="DZ62" s="23" t="n">
        <f aca="false">DY65</f>
        <v>0</v>
      </c>
      <c r="EA62" s="23" t="n">
        <f aca="false">DZ65</f>
        <v>0</v>
      </c>
      <c r="EB62" s="23" t="n">
        <f aca="false">EA65</f>
        <v>0</v>
      </c>
      <c r="EC62" s="23" t="n">
        <f aca="false">EB65</f>
        <v>0</v>
      </c>
      <c r="ED62" s="23" t="n">
        <f aca="false">EC65</f>
        <v>0</v>
      </c>
      <c r="EE62" s="23" t="n">
        <f aca="false">ED65</f>
        <v>0</v>
      </c>
      <c r="EF62" s="23" t="n">
        <f aca="false">EE65</f>
        <v>0</v>
      </c>
      <c r="EG62" s="23" t="n">
        <f aca="false">EF65</f>
        <v>0</v>
      </c>
      <c r="EH62" s="23" t="n">
        <f aca="false">EG65</f>
        <v>0</v>
      </c>
      <c r="EI62" s="23" t="n">
        <f aca="false">EH65</f>
        <v>0</v>
      </c>
      <c r="EJ62" s="23" t="n">
        <f aca="false">EI65</f>
        <v>0</v>
      </c>
      <c r="EK62" s="23" t="n">
        <f aca="false">EJ65</f>
        <v>0</v>
      </c>
      <c r="EL62" s="23" t="n">
        <f aca="false">EK65</f>
        <v>0</v>
      </c>
      <c r="EM62" s="23" t="n">
        <f aca="false">EL65</f>
        <v>0</v>
      </c>
      <c r="EN62" s="23" t="n">
        <f aca="false">EM65</f>
        <v>0</v>
      </c>
      <c r="EO62" s="23" t="n">
        <f aca="false">EN65</f>
        <v>0</v>
      </c>
      <c r="EP62" s="23" t="n">
        <f aca="false">EO65</f>
        <v>0</v>
      </c>
      <c r="EQ62" s="23" t="n">
        <f aca="false">EP65</f>
        <v>0</v>
      </c>
      <c r="ER62" s="23" t="n">
        <f aca="false">EQ65</f>
        <v>0</v>
      </c>
      <c r="ES62" s="23" t="n">
        <f aca="false">ER65</f>
        <v>0</v>
      </c>
      <c r="ET62" s="23" t="n">
        <f aca="false">ES65</f>
        <v>0</v>
      </c>
      <c r="EU62" s="23" t="n">
        <f aca="false">ET65</f>
        <v>0</v>
      </c>
      <c r="EV62" s="23" t="n">
        <f aca="false">EU65</f>
        <v>0</v>
      </c>
      <c r="EW62" s="23" t="n">
        <f aca="false">EV65</f>
        <v>0</v>
      </c>
      <c r="EX62" s="23" t="n">
        <f aca="false">EW65</f>
        <v>0</v>
      </c>
      <c r="EY62" s="23" t="n">
        <f aca="false">EX65</f>
        <v>0</v>
      </c>
      <c r="EZ62" s="23" t="n">
        <f aca="false">EY65</f>
        <v>0</v>
      </c>
      <c r="FA62" s="23" t="n">
        <f aca="false">EZ65</f>
        <v>0</v>
      </c>
      <c r="FB62" s="23" t="n">
        <f aca="false">FA65</f>
        <v>0</v>
      </c>
      <c r="FC62" s="23" t="n">
        <f aca="false">FB65</f>
        <v>0</v>
      </c>
      <c r="FD62" s="23" t="n">
        <f aca="false">FC65</f>
        <v>0</v>
      </c>
      <c r="FE62" s="23" t="n">
        <f aca="false">FD65</f>
        <v>0</v>
      </c>
      <c r="FF62" s="23" t="n">
        <f aca="false">FE65</f>
        <v>0</v>
      </c>
      <c r="FG62" s="23" t="n">
        <f aca="false">FF65</f>
        <v>0</v>
      </c>
      <c r="FH62" s="23" t="n">
        <f aca="false">FG65</f>
        <v>0</v>
      </c>
      <c r="FI62" s="23" t="n">
        <f aca="false">FH65</f>
        <v>0</v>
      </c>
      <c r="FJ62" s="23" t="n">
        <f aca="false">FI65</f>
        <v>0</v>
      </c>
      <c r="FK62" s="23" t="n">
        <f aca="false">FJ65</f>
        <v>0</v>
      </c>
    </row>
    <row r="63" customFormat="false" ht="15" hidden="false" customHeight="true" outlineLevel="0" collapsed="false">
      <c r="D63" s="21" t="s">
        <v>106</v>
      </c>
      <c r="E63" s="7" t="s">
        <v>28</v>
      </c>
      <c r="F63" s="22" t="n">
        <f aca="false">SUM(H63:FK63)</f>
        <v>450000000</v>
      </c>
      <c r="H63" s="23" t="n">
        <f aca="false">-H25</f>
        <v>112500000</v>
      </c>
      <c r="I63" s="23" t="n">
        <f aca="false">-I25</f>
        <v>112500000</v>
      </c>
      <c r="J63" s="23" t="n">
        <f aca="false">-J25</f>
        <v>112500000</v>
      </c>
      <c r="K63" s="23" t="n">
        <f aca="false">-K25</f>
        <v>112500000</v>
      </c>
      <c r="L63" s="23" t="n">
        <f aca="false">-L25</f>
        <v>-0</v>
      </c>
      <c r="M63" s="23" t="n">
        <f aca="false">-M25</f>
        <v>-0</v>
      </c>
      <c r="N63" s="23" t="n">
        <f aca="false">-N25</f>
        <v>-0</v>
      </c>
      <c r="O63" s="23" t="n">
        <f aca="false">-O25</f>
        <v>-0</v>
      </c>
      <c r="P63" s="23" t="n">
        <f aca="false">-P25</f>
        <v>-0</v>
      </c>
      <c r="Q63" s="23" t="n">
        <f aca="false">-Q25</f>
        <v>-0</v>
      </c>
      <c r="R63" s="23" t="n">
        <f aca="false">-R25</f>
        <v>-0</v>
      </c>
      <c r="S63" s="23" t="n">
        <f aca="false">-S25</f>
        <v>-0</v>
      </c>
      <c r="T63" s="23" t="n">
        <f aca="false">-T25</f>
        <v>-0</v>
      </c>
      <c r="U63" s="23" t="n">
        <f aca="false">-U25</f>
        <v>-0</v>
      </c>
      <c r="V63" s="23" t="n">
        <f aca="false">-V25</f>
        <v>-0</v>
      </c>
      <c r="W63" s="23" t="n">
        <f aca="false">-W25</f>
        <v>-0</v>
      </c>
      <c r="X63" s="23" t="n">
        <f aca="false">-X25</f>
        <v>-0</v>
      </c>
      <c r="Y63" s="23" t="n">
        <f aca="false">-Y25</f>
        <v>-0</v>
      </c>
      <c r="Z63" s="23" t="n">
        <f aca="false">-Z25</f>
        <v>-0</v>
      </c>
      <c r="AA63" s="23" t="n">
        <f aca="false">-AA25</f>
        <v>-0</v>
      </c>
      <c r="AB63" s="23" t="n">
        <f aca="false">-AB25</f>
        <v>-0</v>
      </c>
      <c r="AC63" s="23" t="n">
        <f aca="false">-AC25</f>
        <v>-0</v>
      </c>
      <c r="AD63" s="23" t="n">
        <f aca="false">-AD25</f>
        <v>-0</v>
      </c>
      <c r="AE63" s="23" t="n">
        <f aca="false">-AE25</f>
        <v>-0</v>
      </c>
      <c r="AF63" s="23" t="n">
        <f aca="false">-AF25</f>
        <v>-0</v>
      </c>
      <c r="AG63" s="23" t="n">
        <f aca="false">-AG25</f>
        <v>-0</v>
      </c>
      <c r="AH63" s="23" t="n">
        <f aca="false">-AH25</f>
        <v>-0</v>
      </c>
      <c r="AI63" s="23" t="n">
        <f aca="false">-AI25</f>
        <v>-0</v>
      </c>
      <c r="AJ63" s="23" t="n">
        <f aca="false">-AJ25</f>
        <v>-0</v>
      </c>
      <c r="AK63" s="23" t="n">
        <f aca="false">-AK25</f>
        <v>-0</v>
      </c>
      <c r="AL63" s="23" t="n">
        <f aca="false">-AL25</f>
        <v>-0</v>
      </c>
      <c r="AM63" s="23" t="n">
        <f aca="false">-AM25</f>
        <v>-0</v>
      </c>
      <c r="AN63" s="23" t="n">
        <f aca="false">-AN25</f>
        <v>-0</v>
      </c>
      <c r="AO63" s="23" t="n">
        <f aca="false">-AO25</f>
        <v>-0</v>
      </c>
      <c r="AP63" s="23" t="n">
        <f aca="false">-AP25</f>
        <v>-0</v>
      </c>
      <c r="AQ63" s="23" t="n">
        <f aca="false">-AQ25</f>
        <v>-0</v>
      </c>
      <c r="AR63" s="23" t="n">
        <f aca="false">-AR25</f>
        <v>-0</v>
      </c>
      <c r="AS63" s="23" t="n">
        <f aca="false">-AS25</f>
        <v>-0</v>
      </c>
      <c r="AT63" s="23" t="n">
        <f aca="false">-AT25</f>
        <v>-0</v>
      </c>
      <c r="AU63" s="23" t="n">
        <f aca="false">-AU25</f>
        <v>-0</v>
      </c>
      <c r="AV63" s="23" t="n">
        <f aca="false">-AV25</f>
        <v>-0</v>
      </c>
      <c r="AW63" s="23" t="n">
        <f aca="false">-AW25</f>
        <v>-0</v>
      </c>
      <c r="AX63" s="23" t="n">
        <f aca="false">-AX25</f>
        <v>-0</v>
      </c>
      <c r="AY63" s="23" t="n">
        <f aca="false">-AY25</f>
        <v>-0</v>
      </c>
      <c r="AZ63" s="23" t="n">
        <f aca="false">-AZ25</f>
        <v>-0</v>
      </c>
      <c r="BA63" s="23" t="n">
        <f aca="false">-BA25</f>
        <v>-0</v>
      </c>
      <c r="BB63" s="23" t="n">
        <f aca="false">-BB25</f>
        <v>-0</v>
      </c>
      <c r="BC63" s="23" t="n">
        <f aca="false">-BC25</f>
        <v>-0</v>
      </c>
      <c r="BD63" s="23" t="n">
        <f aca="false">-BD25</f>
        <v>-0</v>
      </c>
      <c r="BE63" s="23" t="n">
        <f aca="false">-BE25</f>
        <v>-0</v>
      </c>
      <c r="BF63" s="23" t="n">
        <f aca="false">-BF25</f>
        <v>-0</v>
      </c>
      <c r="BG63" s="23" t="n">
        <f aca="false">-BG25</f>
        <v>-0</v>
      </c>
      <c r="BH63" s="23" t="n">
        <f aca="false">-BH25</f>
        <v>-0</v>
      </c>
      <c r="BI63" s="23" t="n">
        <f aca="false">-BI25</f>
        <v>-0</v>
      </c>
      <c r="BJ63" s="23" t="n">
        <f aca="false">-BJ25</f>
        <v>-0</v>
      </c>
      <c r="BK63" s="23" t="n">
        <f aca="false">-BK25</f>
        <v>-0</v>
      </c>
      <c r="BL63" s="23" t="n">
        <f aca="false">-BL25</f>
        <v>-0</v>
      </c>
      <c r="BM63" s="23" t="n">
        <f aca="false">-BM25</f>
        <v>-0</v>
      </c>
      <c r="BN63" s="23" t="n">
        <f aca="false">-BN25</f>
        <v>-0</v>
      </c>
      <c r="BO63" s="23" t="n">
        <f aca="false">-BO25</f>
        <v>-0</v>
      </c>
      <c r="BP63" s="23" t="n">
        <f aca="false">-BP25</f>
        <v>-0</v>
      </c>
      <c r="BQ63" s="23" t="n">
        <f aca="false">-BQ25</f>
        <v>-0</v>
      </c>
      <c r="BR63" s="23" t="n">
        <f aca="false">-BR25</f>
        <v>-0</v>
      </c>
      <c r="BS63" s="23" t="n">
        <f aca="false">-BS25</f>
        <v>-0</v>
      </c>
      <c r="BT63" s="23" t="n">
        <f aca="false">-BT25</f>
        <v>-0</v>
      </c>
      <c r="BU63" s="23" t="n">
        <f aca="false">-BU25</f>
        <v>-0</v>
      </c>
      <c r="BV63" s="23" t="n">
        <f aca="false">-BV25</f>
        <v>-0</v>
      </c>
      <c r="BW63" s="23" t="n">
        <f aca="false">-BW25</f>
        <v>-0</v>
      </c>
      <c r="BX63" s="23" t="n">
        <f aca="false">-BX25</f>
        <v>-0</v>
      </c>
      <c r="BY63" s="23" t="n">
        <f aca="false">-BY25</f>
        <v>-0</v>
      </c>
      <c r="BZ63" s="23" t="n">
        <f aca="false">-BZ25</f>
        <v>-0</v>
      </c>
      <c r="CA63" s="23" t="n">
        <f aca="false">-CA25</f>
        <v>-0</v>
      </c>
      <c r="CB63" s="23" t="n">
        <f aca="false">-CB25</f>
        <v>-0</v>
      </c>
      <c r="CC63" s="23" t="n">
        <f aca="false">-CC25</f>
        <v>-0</v>
      </c>
      <c r="CD63" s="23" t="n">
        <f aca="false">-CD25</f>
        <v>-0</v>
      </c>
      <c r="CE63" s="23" t="n">
        <f aca="false">-CE25</f>
        <v>-0</v>
      </c>
      <c r="CF63" s="23" t="n">
        <f aca="false">-CF25</f>
        <v>-0</v>
      </c>
      <c r="CG63" s="23" t="n">
        <f aca="false">-CG25</f>
        <v>-0</v>
      </c>
      <c r="CH63" s="23" t="n">
        <f aca="false">-CH25</f>
        <v>-0</v>
      </c>
      <c r="CI63" s="23" t="n">
        <f aca="false">-CI25</f>
        <v>-0</v>
      </c>
      <c r="CJ63" s="23" t="n">
        <f aca="false">-CJ25</f>
        <v>-0</v>
      </c>
      <c r="CK63" s="23" t="n">
        <f aca="false">-CK25</f>
        <v>-0</v>
      </c>
      <c r="CL63" s="23" t="n">
        <f aca="false">-CL25</f>
        <v>-0</v>
      </c>
      <c r="CM63" s="23" t="n">
        <f aca="false">-CM25</f>
        <v>-0</v>
      </c>
      <c r="CN63" s="23" t="n">
        <f aca="false">-CN25</f>
        <v>-0</v>
      </c>
      <c r="CO63" s="23" t="n">
        <f aca="false">-CO25</f>
        <v>-0</v>
      </c>
      <c r="CP63" s="23" t="n">
        <f aca="false">-CP25</f>
        <v>-0</v>
      </c>
      <c r="CQ63" s="23" t="n">
        <f aca="false">-CQ25</f>
        <v>-0</v>
      </c>
      <c r="CR63" s="23" t="n">
        <f aca="false">-CR25</f>
        <v>-0</v>
      </c>
      <c r="CS63" s="23" t="n">
        <f aca="false">-CS25</f>
        <v>-0</v>
      </c>
      <c r="CT63" s="23" t="n">
        <f aca="false">-CT25</f>
        <v>-0</v>
      </c>
      <c r="CU63" s="23" t="n">
        <f aca="false">-CU25</f>
        <v>-0</v>
      </c>
      <c r="CV63" s="23" t="n">
        <f aca="false">-CV25</f>
        <v>-0</v>
      </c>
      <c r="CW63" s="23" t="n">
        <f aca="false">-CW25</f>
        <v>-0</v>
      </c>
      <c r="CX63" s="23" t="n">
        <f aca="false">-CX25</f>
        <v>-0</v>
      </c>
      <c r="CY63" s="23" t="n">
        <f aca="false">-CY25</f>
        <v>-0</v>
      </c>
      <c r="CZ63" s="23" t="n">
        <f aca="false">-CZ25</f>
        <v>-0</v>
      </c>
      <c r="DA63" s="23" t="n">
        <f aca="false">-DA25</f>
        <v>-0</v>
      </c>
      <c r="DB63" s="23" t="n">
        <f aca="false">-DB25</f>
        <v>-0</v>
      </c>
      <c r="DC63" s="23" t="n">
        <f aca="false">-DC25</f>
        <v>-0</v>
      </c>
      <c r="DD63" s="23" t="n">
        <f aca="false">-DD25</f>
        <v>-0</v>
      </c>
      <c r="DE63" s="23" t="n">
        <f aca="false">-DE25</f>
        <v>-0</v>
      </c>
      <c r="DF63" s="23" t="n">
        <f aca="false">-DF25</f>
        <v>-0</v>
      </c>
      <c r="DG63" s="23" t="n">
        <f aca="false">-DG25</f>
        <v>-0</v>
      </c>
      <c r="DH63" s="23" t="n">
        <f aca="false">-DH25</f>
        <v>-0</v>
      </c>
      <c r="DI63" s="23" t="n">
        <f aca="false">-DI25</f>
        <v>-0</v>
      </c>
      <c r="DJ63" s="23" t="n">
        <f aca="false">-DJ25</f>
        <v>-0</v>
      </c>
      <c r="DK63" s="23" t="n">
        <f aca="false">-DK25</f>
        <v>-0</v>
      </c>
      <c r="DL63" s="23" t="n">
        <f aca="false">-DL25</f>
        <v>-0</v>
      </c>
      <c r="DM63" s="23" t="n">
        <f aca="false">-DM25</f>
        <v>-0</v>
      </c>
      <c r="DN63" s="23" t="n">
        <f aca="false">-DN25</f>
        <v>-0</v>
      </c>
      <c r="DO63" s="23" t="n">
        <f aca="false">-DO25</f>
        <v>-0</v>
      </c>
      <c r="DP63" s="23" t="n">
        <f aca="false">-DP25</f>
        <v>-0</v>
      </c>
      <c r="DQ63" s="23" t="n">
        <f aca="false">-DQ25</f>
        <v>-0</v>
      </c>
      <c r="DR63" s="23" t="n">
        <f aca="false">-DR25</f>
        <v>-0</v>
      </c>
      <c r="DS63" s="23" t="n">
        <f aca="false">-DS25</f>
        <v>-0</v>
      </c>
      <c r="DT63" s="23" t="n">
        <f aca="false">-DT25</f>
        <v>-0</v>
      </c>
      <c r="DU63" s="23" t="n">
        <f aca="false">-DU25</f>
        <v>-0</v>
      </c>
      <c r="DV63" s="23" t="n">
        <f aca="false">-DV25</f>
        <v>-0</v>
      </c>
      <c r="DW63" s="23" t="n">
        <f aca="false">-DW25</f>
        <v>-0</v>
      </c>
      <c r="DX63" s="23" t="n">
        <f aca="false">-DX25</f>
        <v>-0</v>
      </c>
      <c r="DY63" s="23" t="n">
        <f aca="false">-DY25</f>
        <v>-0</v>
      </c>
      <c r="DZ63" s="23" t="n">
        <f aca="false">-DZ25</f>
        <v>-0</v>
      </c>
      <c r="EA63" s="23" t="n">
        <f aca="false">-EA25</f>
        <v>-0</v>
      </c>
      <c r="EB63" s="23" t="n">
        <f aca="false">-EB25</f>
        <v>-0</v>
      </c>
      <c r="EC63" s="23" t="n">
        <f aca="false">-EC25</f>
        <v>-0</v>
      </c>
      <c r="ED63" s="23" t="n">
        <f aca="false">-ED25</f>
        <v>-0</v>
      </c>
      <c r="EE63" s="23" t="n">
        <f aca="false">-EE25</f>
        <v>-0</v>
      </c>
      <c r="EF63" s="23" t="n">
        <f aca="false">-EF25</f>
        <v>-0</v>
      </c>
      <c r="EG63" s="23" t="n">
        <f aca="false">-EG25</f>
        <v>-0</v>
      </c>
      <c r="EH63" s="23" t="n">
        <f aca="false">-EH25</f>
        <v>-0</v>
      </c>
      <c r="EI63" s="23" t="n">
        <f aca="false">-EI25</f>
        <v>-0</v>
      </c>
      <c r="EJ63" s="23" t="n">
        <f aca="false">-EJ25</f>
        <v>-0</v>
      </c>
      <c r="EK63" s="23" t="n">
        <f aca="false">-EK25</f>
        <v>-0</v>
      </c>
      <c r="EL63" s="23" t="n">
        <f aca="false">-EL25</f>
        <v>-0</v>
      </c>
      <c r="EM63" s="23" t="n">
        <f aca="false">-EM25</f>
        <v>-0</v>
      </c>
      <c r="EN63" s="23" t="n">
        <f aca="false">-EN25</f>
        <v>-0</v>
      </c>
      <c r="EO63" s="23" t="n">
        <f aca="false">-EO25</f>
        <v>-0</v>
      </c>
      <c r="EP63" s="23" t="n">
        <f aca="false">-EP25</f>
        <v>-0</v>
      </c>
      <c r="EQ63" s="23" t="n">
        <f aca="false">-EQ25</f>
        <v>-0</v>
      </c>
      <c r="ER63" s="23" t="n">
        <f aca="false">-ER25</f>
        <v>-0</v>
      </c>
      <c r="ES63" s="23" t="n">
        <f aca="false">-ES25</f>
        <v>-0</v>
      </c>
      <c r="ET63" s="23" t="n">
        <f aca="false">-ET25</f>
        <v>-0</v>
      </c>
      <c r="EU63" s="23" t="n">
        <f aca="false">-EU25</f>
        <v>-0</v>
      </c>
      <c r="EV63" s="23" t="n">
        <f aca="false">-EV25</f>
        <v>-0</v>
      </c>
      <c r="EW63" s="23" t="n">
        <f aca="false">-EW25</f>
        <v>-0</v>
      </c>
      <c r="EX63" s="23" t="n">
        <f aca="false">-EX25</f>
        <v>-0</v>
      </c>
      <c r="EY63" s="23" t="n">
        <f aca="false">-EY25</f>
        <v>-0</v>
      </c>
      <c r="EZ63" s="23" t="n">
        <f aca="false">-EZ25</f>
        <v>-0</v>
      </c>
      <c r="FA63" s="23" t="n">
        <f aca="false">-FA25</f>
        <v>-0</v>
      </c>
      <c r="FB63" s="23" t="n">
        <f aca="false">-FB25</f>
        <v>-0</v>
      </c>
      <c r="FC63" s="23" t="n">
        <f aca="false">-FC25</f>
        <v>-0</v>
      </c>
      <c r="FD63" s="23" t="n">
        <f aca="false">-FD25</f>
        <v>-0</v>
      </c>
      <c r="FE63" s="23" t="n">
        <f aca="false">-FE25</f>
        <v>-0</v>
      </c>
      <c r="FF63" s="23" t="n">
        <f aca="false">-FF25</f>
        <v>-0</v>
      </c>
      <c r="FG63" s="23" t="n">
        <f aca="false">-FG25</f>
        <v>-0</v>
      </c>
      <c r="FH63" s="23" t="n">
        <f aca="false">-FH25</f>
        <v>-0</v>
      </c>
      <c r="FI63" s="23" t="n">
        <f aca="false">-FI25</f>
        <v>-0</v>
      </c>
      <c r="FJ63" s="23" t="n">
        <f aca="false">-FJ25</f>
        <v>-0</v>
      </c>
      <c r="FK63" s="23" t="n">
        <f aca="false">-FK25</f>
        <v>-0</v>
      </c>
    </row>
    <row r="64" customFormat="false" ht="15" hidden="false" customHeight="true" outlineLevel="0" collapsed="false">
      <c r="D64" s="21" t="s">
        <v>107</v>
      </c>
      <c r="E64" s="7" t="s">
        <v>28</v>
      </c>
      <c r="F64" s="22" t="n">
        <f aca="false">SUM(H64:FK64)</f>
        <v>450000000</v>
      </c>
      <c r="H64" s="23" t="n">
        <f aca="false">IF(H17=TRUE(),IF(H15=OperationsEndDate,H62,MIN(H62,TotalCapEx*DepreciationRateQtrly)),0)</f>
        <v>0</v>
      </c>
      <c r="I64" s="23" t="n">
        <f aca="false">IF(I17=TRUE(),IF(I15=OperationsEndDate,I62,MIN(I62,TotalCapEx*DepreciationRateQtrly)),0)</f>
        <v>0</v>
      </c>
      <c r="J64" s="23" t="n">
        <f aca="false">IF(J17=TRUE(),IF(J15=OperationsEndDate,J62,MIN(J62,TotalCapEx*DepreciationRateQtrly)),0)</f>
        <v>0</v>
      </c>
      <c r="K64" s="23" t="n">
        <f aca="false">IF(K17=TRUE(),IF(K15=OperationsEndDate,K62,MIN(K62,TotalCapEx*DepreciationRateQtrly)),0)</f>
        <v>0</v>
      </c>
      <c r="L64" s="23" t="n">
        <f aca="false">IF(L17=TRUE(),IF(L15=OperationsEndDate,L62,MIN(L62,TotalCapEx*DepreciationRateQtrly)),0)</f>
        <v>4500000</v>
      </c>
      <c r="M64" s="23" t="n">
        <f aca="false">IF(M17=TRUE(),IF(M15=OperationsEndDate,M62,MIN(M62,TotalCapEx*DepreciationRateQtrly)),0)</f>
        <v>4500000</v>
      </c>
      <c r="N64" s="23" t="n">
        <f aca="false">IF(N17=TRUE(),IF(N15=OperationsEndDate,N62,MIN(N62,TotalCapEx*DepreciationRateQtrly)),0)</f>
        <v>4500000</v>
      </c>
      <c r="O64" s="23" t="n">
        <f aca="false">IF(O17=TRUE(),IF(O15=OperationsEndDate,O62,MIN(O62,TotalCapEx*DepreciationRateQtrly)),0)</f>
        <v>4500000</v>
      </c>
      <c r="P64" s="23" t="n">
        <f aca="false">IF(P17=TRUE(),IF(P15=OperationsEndDate,P62,MIN(P62,TotalCapEx*DepreciationRateQtrly)),0)</f>
        <v>4500000</v>
      </c>
      <c r="Q64" s="23" t="n">
        <f aca="false">IF(Q17=TRUE(),IF(Q15=OperationsEndDate,Q62,MIN(Q62,TotalCapEx*DepreciationRateQtrly)),0)</f>
        <v>4500000</v>
      </c>
      <c r="R64" s="23" t="n">
        <f aca="false">IF(R17=TRUE(),IF(R15=OperationsEndDate,R62,MIN(R62,TotalCapEx*DepreciationRateQtrly)),0)</f>
        <v>4500000</v>
      </c>
      <c r="S64" s="23" t="n">
        <f aca="false">IF(S17=TRUE(),IF(S15=OperationsEndDate,S62,MIN(S62,TotalCapEx*DepreciationRateQtrly)),0)</f>
        <v>4500000</v>
      </c>
      <c r="T64" s="23" t="n">
        <f aca="false">IF(T17=TRUE(),IF(T15=OperationsEndDate,T62,MIN(T62,TotalCapEx*DepreciationRateQtrly)),0)</f>
        <v>4500000</v>
      </c>
      <c r="U64" s="23" t="n">
        <f aca="false">IF(U17=TRUE(),IF(U15=OperationsEndDate,U62,MIN(U62,TotalCapEx*DepreciationRateQtrly)),0)</f>
        <v>4500000</v>
      </c>
      <c r="V64" s="23" t="n">
        <f aca="false">IF(V17=TRUE(),IF(V15=OperationsEndDate,V62,MIN(V62,TotalCapEx*DepreciationRateQtrly)),0)</f>
        <v>4500000</v>
      </c>
      <c r="W64" s="23" t="n">
        <f aca="false">IF(W17=TRUE(),IF(W15=OperationsEndDate,W62,MIN(W62,TotalCapEx*DepreciationRateQtrly)),0)</f>
        <v>4500000</v>
      </c>
      <c r="X64" s="23" t="n">
        <f aca="false">IF(X17=TRUE(),IF(X15=OperationsEndDate,X62,MIN(X62,TotalCapEx*DepreciationRateQtrly)),0)</f>
        <v>4500000</v>
      </c>
      <c r="Y64" s="23" t="n">
        <f aca="false">IF(Y17=TRUE(),IF(Y15=OperationsEndDate,Y62,MIN(Y62,TotalCapEx*DepreciationRateQtrly)),0)</f>
        <v>4500000</v>
      </c>
      <c r="Z64" s="23" t="n">
        <f aca="false">IF(Z17=TRUE(),IF(Z15=OperationsEndDate,Z62,MIN(Z62,TotalCapEx*DepreciationRateQtrly)),0)</f>
        <v>4500000</v>
      </c>
      <c r="AA64" s="23" t="n">
        <f aca="false">IF(AA17=TRUE(),IF(AA15=OperationsEndDate,AA62,MIN(AA62,TotalCapEx*DepreciationRateQtrly)),0)</f>
        <v>4500000</v>
      </c>
      <c r="AB64" s="23" t="n">
        <f aca="false">IF(AB17=TRUE(),IF(AB15=OperationsEndDate,AB62,MIN(AB62,TotalCapEx*DepreciationRateQtrly)),0)</f>
        <v>4500000</v>
      </c>
      <c r="AC64" s="23" t="n">
        <f aca="false">IF(AC17=TRUE(),IF(AC15=OperationsEndDate,AC62,MIN(AC62,TotalCapEx*DepreciationRateQtrly)),0)</f>
        <v>4500000</v>
      </c>
      <c r="AD64" s="23" t="n">
        <f aca="false">IF(AD17=TRUE(),IF(AD15=OperationsEndDate,AD62,MIN(AD62,TotalCapEx*DepreciationRateQtrly)),0)</f>
        <v>4500000</v>
      </c>
      <c r="AE64" s="23" t="n">
        <f aca="false">IF(AE17=TRUE(),IF(AE15=OperationsEndDate,AE62,MIN(AE62,TotalCapEx*DepreciationRateQtrly)),0)</f>
        <v>4500000</v>
      </c>
      <c r="AF64" s="23" t="n">
        <f aca="false">IF(AF17=TRUE(),IF(AF15=OperationsEndDate,AF62,MIN(AF62,TotalCapEx*DepreciationRateQtrly)),0)</f>
        <v>4500000</v>
      </c>
      <c r="AG64" s="23" t="n">
        <f aca="false">IF(AG17=TRUE(),IF(AG15=OperationsEndDate,AG62,MIN(AG62,TotalCapEx*DepreciationRateQtrly)),0)</f>
        <v>4500000</v>
      </c>
      <c r="AH64" s="23" t="n">
        <f aca="false">IF(AH17=TRUE(),IF(AH15=OperationsEndDate,AH62,MIN(AH62,TotalCapEx*DepreciationRateQtrly)),0)</f>
        <v>4500000</v>
      </c>
      <c r="AI64" s="23" t="n">
        <f aca="false">IF(AI17=TRUE(),IF(AI15=OperationsEndDate,AI62,MIN(AI62,TotalCapEx*DepreciationRateQtrly)),0)</f>
        <v>4500000</v>
      </c>
      <c r="AJ64" s="23" t="n">
        <f aca="false">IF(AJ17=TRUE(),IF(AJ15=OperationsEndDate,AJ62,MIN(AJ62,TotalCapEx*DepreciationRateQtrly)),0)</f>
        <v>4500000</v>
      </c>
      <c r="AK64" s="23" t="n">
        <f aca="false">IF(AK17=TRUE(),IF(AK15=OperationsEndDate,AK62,MIN(AK62,TotalCapEx*DepreciationRateQtrly)),0)</f>
        <v>4500000</v>
      </c>
      <c r="AL64" s="23" t="n">
        <f aca="false">IF(AL17=TRUE(),IF(AL15=OperationsEndDate,AL62,MIN(AL62,TotalCapEx*DepreciationRateQtrly)),0)</f>
        <v>4500000</v>
      </c>
      <c r="AM64" s="23" t="n">
        <f aca="false">IF(AM17=TRUE(),IF(AM15=OperationsEndDate,AM62,MIN(AM62,TotalCapEx*DepreciationRateQtrly)),0)</f>
        <v>4500000</v>
      </c>
      <c r="AN64" s="23" t="n">
        <f aca="false">IF(AN17=TRUE(),IF(AN15=OperationsEndDate,AN62,MIN(AN62,TotalCapEx*DepreciationRateQtrly)),0)</f>
        <v>4500000</v>
      </c>
      <c r="AO64" s="23" t="n">
        <f aca="false">IF(AO17=TRUE(),IF(AO15=OperationsEndDate,AO62,MIN(AO62,TotalCapEx*DepreciationRateQtrly)),0)</f>
        <v>4500000</v>
      </c>
      <c r="AP64" s="23" t="n">
        <f aca="false">IF(AP17=TRUE(),IF(AP15=OperationsEndDate,AP62,MIN(AP62,TotalCapEx*DepreciationRateQtrly)),0)</f>
        <v>4500000</v>
      </c>
      <c r="AQ64" s="23" t="n">
        <f aca="false">IF(AQ17=TRUE(),IF(AQ15=OperationsEndDate,AQ62,MIN(AQ62,TotalCapEx*DepreciationRateQtrly)),0)</f>
        <v>4500000</v>
      </c>
      <c r="AR64" s="23" t="n">
        <f aca="false">IF(AR17=TRUE(),IF(AR15=OperationsEndDate,AR62,MIN(AR62,TotalCapEx*DepreciationRateQtrly)),0)</f>
        <v>4500000</v>
      </c>
      <c r="AS64" s="23" t="n">
        <f aca="false">IF(AS17=TRUE(),IF(AS15=OperationsEndDate,AS62,MIN(AS62,TotalCapEx*DepreciationRateQtrly)),0)</f>
        <v>4500000</v>
      </c>
      <c r="AT64" s="23" t="n">
        <f aca="false">IF(AT17=TRUE(),IF(AT15=OperationsEndDate,AT62,MIN(AT62,TotalCapEx*DepreciationRateQtrly)),0)</f>
        <v>4500000</v>
      </c>
      <c r="AU64" s="23" t="n">
        <f aca="false">IF(AU17=TRUE(),IF(AU15=OperationsEndDate,AU62,MIN(AU62,TotalCapEx*DepreciationRateQtrly)),0)</f>
        <v>4500000</v>
      </c>
      <c r="AV64" s="23" t="n">
        <f aca="false">IF(AV17=TRUE(),IF(AV15=OperationsEndDate,AV62,MIN(AV62,TotalCapEx*DepreciationRateQtrly)),0)</f>
        <v>4500000</v>
      </c>
      <c r="AW64" s="23" t="n">
        <f aca="false">IF(AW17=TRUE(),IF(AW15=OperationsEndDate,AW62,MIN(AW62,TotalCapEx*DepreciationRateQtrly)),0)</f>
        <v>4500000</v>
      </c>
      <c r="AX64" s="23" t="n">
        <f aca="false">IF(AX17=TRUE(),IF(AX15=OperationsEndDate,AX62,MIN(AX62,TotalCapEx*DepreciationRateQtrly)),0)</f>
        <v>4500000</v>
      </c>
      <c r="AY64" s="23" t="n">
        <f aca="false">IF(AY17=TRUE(),IF(AY15=OperationsEndDate,AY62,MIN(AY62,TotalCapEx*DepreciationRateQtrly)),0)</f>
        <v>4500000</v>
      </c>
      <c r="AZ64" s="23" t="n">
        <f aca="false">IF(AZ17=TRUE(),IF(AZ15=OperationsEndDate,AZ62,MIN(AZ62,TotalCapEx*DepreciationRateQtrly)),0)</f>
        <v>4500000</v>
      </c>
      <c r="BA64" s="23" t="n">
        <f aca="false">IF(BA17=TRUE(),IF(BA15=OperationsEndDate,BA62,MIN(BA62,TotalCapEx*DepreciationRateQtrly)),0)</f>
        <v>4500000</v>
      </c>
      <c r="BB64" s="23" t="n">
        <f aca="false">IF(BB17=TRUE(),IF(BB15=OperationsEndDate,BB62,MIN(BB62,TotalCapEx*DepreciationRateQtrly)),0)</f>
        <v>4500000</v>
      </c>
      <c r="BC64" s="23" t="n">
        <f aca="false">IF(BC17=TRUE(),IF(BC15=OperationsEndDate,BC62,MIN(BC62,TotalCapEx*DepreciationRateQtrly)),0)</f>
        <v>4500000</v>
      </c>
      <c r="BD64" s="23" t="n">
        <f aca="false">IF(BD17=TRUE(),IF(BD15=OperationsEndDate,BD62,MIN(BD62,TotalCapEx*DepreciationRateQtrly)),0)</f>
        <v>4500000</v>
      </c>
      <c r="BE64" s="23" t="n">
        <f aca="false">IF(BE17=TRUE(),IF(BE15=OperationsEndDate,BE62,MIN(BE62,TotalCapEx*DepreciationRateQtrly)),0)</f>
        <v>4500000</v>
      </c>
      <c r="BF64" s="23" t="n">
        <f aca="false">IF(BF17=TRUE(),IF(BF15=OperationsEndDate,BF62,MIN(BF62,TotalCapEx*DepreciationRateQtrly)),0)</f>
        <v>4500000</v>
      </c>
      <c r="BG64" s="23" t="n">
        <f aca="false">IF(BG17=TRUE(),IF(BG15=OperationsEndDate,BG62,MIN(BG62,TotalCapEx*DepreciationRateQtrly)),0)</f>
        <v>4500000</v>
      </c>
      <c r="BH64" s="23" t="n">
        <f aca="false">IF(BH17=TRUE(),IF(BH15=OperationsEndDate,BH62,MIN(BH62,TotalCapEx*DepreciationRateQtrly)),0)</f>
        <v>4500000</v>
      </c>
      <c r="BI64" s="23" t="n">
        <f aca="false">IF(BI17=TRUE(),IF(BI15=OperationsEndDate,BI62,MIN(BI62,TotalCapEx*DepreciationRateQtrly)),0)</f>
        <v>4500000</v>
      </c>
      <c r="BJ64" s="23" t="n">
        <f aca="false">IF(BJ17=TRUE(),IF(BJ15=OperationsEndDate,BJ62,MIN(BJ62,TotalCapEx*DepreciationRateQtrly)),0)</f>
        <v>4500000</v>
      </c>
      <c r="BK64" s="23" t="n">
        <f aca="false">IF(BK17=TRUE(),IF(BK15=OperationsEndDate,BK62,MIN(BK62,TotalCapEx*DepreciationRateQtrly)),0)</f>
        <v>4500000</v>
      </c>
      <c r="BL64" s="23" t="n">
        <f aca="false">IF(BL17=TRUE(),IF(BL15=OperationsEndDate,BL62,MIN(BL62,TotalCapEx*DepreciationRateQtrly)),0)</f>
        <v>4500000</v>
      </c>
      <c r="BM64" s="23" t="n">
        <f aca="false">IF(BM17=TRUE(),IF(BM15=OperationsEndDate,BM62,MIN(BM62,TotalCapEx*DepreciationRateQtrly)),0)</f>
        <v>4500000</v>
      </c>
      <c r="BN64" s="23" t="n">
        <f aca="false">IF(BN17=TRUE(),IF(BN15=OperationsEndDate,BN62,MIN(BN62,TotalCapEx*DepreciationRateQtrly)),0)</f>
        <v>4500000</v>
      </c>
      <c r="BO64" s="23" t="n">
        <f aca="false">IF(BO17=TRUE(),IF(BO15=OperationsEndDate,BO62,MIN(BO62,TotalCapEx*DepreciationRateQtrly)),0)</f>
        <v>4500000</v>
      </c>
      <c r="BP64" s="23" t="n">
        <f aca="false">IF(BP17=TRUE(),IF(BP15=OperationsEndDate,BP62,MIN(BP62,TotalCapEx*DepreciationRateQtrly)),0)</f>
        <v>4500000</v>
      </c>
      <c r="BQ64" s="23" t="n">
        <f aca="false">IF(BQ17=TRUE(),IF(BQ15=OperationsEndDate,BQ62,MIN(BQ62,TotalCapEx*DepreciationRateQtrly)),0)</f>
        <v>4500000</v>
      </c>
      <c r="BR64" s="23" t="n">
        <f aca="false">IF(BR17=TRUE(),IF(BR15=OperationsEndDate,BR62,MIN(BR62,TotalCapEx*DepreciationRateQtrly)),0)</f>
        <v>4500000</v>
      </c>
      <c r="BS64" s="23" t="n">
        <f aca="false">IF(BS17=TRUE(),IF(BS15=OperationsEndDate,BS62,MIN(BS62,TotalCapEx*DepreciationRateQtrly)),0)</f>
        <v>4500000</v>
      </c>
      <c r="BT64" s="23" t="n">
        <f aca="false">IF(BT17=TRUE(),IF(BT15=OperationsEndDate,BT62,MIN(BT62,TotalCapEx*DepreciationRateQtrly)),0)</f>
        <v>4500000</v>
      </c>
      <c r="BU64" s="23" t="n">
        <f aca="false">IF(BU17=TRUE(),IF(BU15=OperationsEndDate,BU62,MIN(BU62,TotalCapEx*DepreciationRateQtrly)),0)</f>
        <v>4500000</v>
      </c>
      <c r="BV64" s="23" t="n">
        <f aca="false">IF(BV17=TRUE(),IF(BV15=OperationsEndDate,BV62,MIN(BV62,TotalCapEx*DepreciationRateQtrly)),0)</f>
        <v>4500000</v>
      </c>
      <c r="BW64" s="23" t="n">
        <f aca="false">IF(BW17=TRUE(),IF(BW15=OperationsEndDate,BW62,MIN(BW62,TotalCapEx*DepreciationRateQtrly)),0)</f>
        <v>4500000</v>
      </c>
      <c r="BX64" s="23" t="n">
        <f aca="false">IF(BX17=TRUE(),IF(BX15=OperationsEndDate,BX62,MIN(BX62,TotalCapEx*DepreciationRateQtrly)),0)</f>
        <v>4500000</v>
      </c>
      <c r="BY64" s="23" t="n">
        <f aca="false">IF(BY17=TRUE(),IF(BY15=OperationsEndDate,BY62,MIN(BY62,TotalCapEx*DepreciationRateQtrly)),0)</f>
        <v>4500000</v>
      </c>
      <c r="BZ64" s="23" t="n">
        <f aca="false">IF(BZ17=TRUE(),IF(BZ15=OperationsEndDate,BZ62,MIN(BZ62,TotalCapEx*DepreciationRateQtrly)),0)</f>
        <v>4500000</v>
      </c>
      <c r="CA64" s="23" t="n">
        <f aca="false">IF(CA17=TRUE(),IF(CA15=OperationsEndDate,CA62,MIN(CA62,TotalCapEx*DepreciationRateQtrly)),0)</f>
        <v>4500000</v>
      </c>
      <c r="CB64" s="23" t="n">
        <f aca="false">IF(CB17=TRUE(),IF(CB15=OperationsEndDate,CB62,MIN(CB62,TotalCapEx*DepreciationRateQtrly)),0)</f>
        <v>4500000</v>
      </c>
      <c r="CC64" s="23" t="n">
        <f aca="false">IF(CC17=TRUE(),IF(CC15=OperationsEndDate,CC62,MIN(CC62,TotalCapEx*DepreciationRateQtrly)),0)</f>
        <v>4500000</v>
      </c>
      <c r="CD64" s="23" t="n">
        <f aca="false">IF(CD17=TRUE(),IF(CD15=OperationsEndDate,CD62,MIN(CD62,TotalCapEx*DepreciationRateQtrly)),0)</f>
        <v>4500000</v>
      </c>
      <c r="CE64" s="23" t="n">
        <f aca="false">IF(CE17=TRUE(),IF(CE15=OperationsEndDate,CE62,MIN(CE62,TotalCapEx*DepreciationRateQtrly)),0)</f>
        <v>4500000</v>
      </c>
      <c r="CF64" s="23" t="n">
        <f aca="false">IF(CF17=TRUE(),IF(CF15=OperationsEndDate,CF62,MIN(CF62,TotalCapEx*DepreciationRateQtrly)),0)</f>
        <v>4500000</v>
      </c>
      <c r="CG64" s="23" t="n">
        <f aca="false">IF(CG17=TRUE(),IF(CG15=OperationsEndDate,CG62,MIN(CG62,TotalCapEx*DepreciationRateQtrly)),0)</f>
        <v>4500000</v>
      </c>
      <c r="CH64" s="23" t="n">
        <f aca="false">IF(CH17=TRUE(),IF(CH15=OperationsEndDate,CH62,MIN(CH62,TotalCapEx*DepreciationRateQtrly)),0)</f>
        <v>4500000</v>
      </c>
      <c r="CI64" s="23" t="n">
        <f aca="false">IF(CI17=TRUE(),IF(CI15=OperationsEndDate,CI62,MIN(CI62,TotalCapEx*DepreciationRateQtrly)),0)</f>
        <v>4500000</v>
      </c>
      <c r="CJ64" s="23" t="n">
        <f aca="false">IF(CJ17=TRUE(),IF(CJ15=OperationsEndDate,CJ62,MIN(CJ62,TotalCapEx*DepreciationRateQtrly)),0)</f>
        <v>4500000</v>
      </c>
      <c r="CK64" s="23" t="n">
        <f aca="false">IF(CK17=TRUE(),IF(CK15=OperationsEndDate,CK62,MIN(CK62,TotalCapEx*DepreciationRateQtrly)),0)</f>
        <v>4500000</v>
      </c>
      <c r="CL64" s="23" t="n">
        <f aca="false">IF(CL17=TRUE(),IF(CL15=OperationsEndDate,CL62,MIN(CL62,TotalCapEx*DepreciationRateQtrly)),0)</f>
        <v>4500000</v>
      </c>
      <c r="CM64" s="23" t="n">
        <f aca="false">IF(CM17=TRUE(),IF(CM15=OperationsEndDate,CM62,MIN(CM62,TotalCapEx*DepreciationRateQtrly)),0)</f>
        <v>4500000</v>
      </c>
      <c r="CN64" s="23" t="n">
        <f aca="false">IF(CN17=TRUE(),IF(CN15=OperationsEndDate,CN62,MIN(CN62,TotalCapEx*DepreciationRateQtrly)),0)</f>
        <v>4500000</v>
      </c>
      <c r="CO64" s="23" t="n">
        <f aca="false">IF(CO17=TRUE(),IF(CO15=OperationsEndDate,CO62,MIN(CO62,TotalCapEx*DepreciationRateQtrly)),0)</f>
        <v>4500000</v>
      </c>
      <c r="CP64" s="23" t="n">
        <f aca="false">IF(CP17=TRUE(),IF(CP15=OperationsEndDate,CP62,MIN(CP62,TotalCapEx*DepreciationRateQtrly)),0)</f>
        <v>4500000</v>
      </c>
      <c r="CQ64" s="23" t="n">
        <f aca="false">IF(CQ17=TRUE(),IF(CQ15=OperationsEndDate,CQ62,MIN(CQ62,TotalCapEx*DepreciationRateQtrly)),0)</f>
        <v>4500000</v>
      </c>
      <c r="CR64" s="23" t="n">
        <f aca="false">IF(CR17=TRUE(),IF(CR15=OperationsEndDate,CR62,MIN(CR62,TotalCapEx*DepreciationRateQtrly)),0)</f>
        <v>4500000</v>
      </c>
      <c r="CS64" s="23" t="n">
        <f aca="false">IF(CS17=TRUE(),IF(CS15=OperationsEndDate,CS62,MIN(CS62,TotalCapEx*DepreciationRateQtrly)),0)</f>
        <v>4500000</v>
      </c>
      <c r="CT64" s="23" t="n">
        <f aca="false">IF(CT17=TRUE(),IF(CT15=OperationsEndDate,CT62,MIN(CT62,TotalCapEx*DepreciationRateQtrly)),0)</f>
        <v>4500000</v>
      </c>
      <c r="CU64" s="23" t="n">
        <f aca="false">IF(CU17=TRUE(),IF(CU15=OperationsEndDate,CU62,MIN(CU62,TotalCapEx*DepreciationRateQtrly)),0)</f>
        <v>4500000</v>
      </c>
      <c r="CV64" s="23" t="n">
        <f aca="false">IF(CV17=TRUE(),IF(CV15=OperationsEndDate,CV62,MIN(CV62,TotalCapEx*DepreciationRateQtrly)),0)</f>
        <v>4500000</v>
      </c>
      <c r="CW64" s="23" t="n">
        <f aca="false">IF(CW17=TRUE(),IF(CW15=OperationsEndDate,CW62,MIN(CW62,TotalCapEx*DepreciationRateQtrly)),0)</f>
        <v>4500000</v>
      </c>
      <c r="CX64" s="23" t="n">
        <f aca="false">IF(CX17=TRUE(),IF(CX15=OperationsEndDate,CX62,MIN(CX62,TotalCapEx*DepreciationRateQtrly)),0)</f>
        <v>4500000</v>
      </c>
      <c r="CY64" s="23" t="n">
        <f aca="false">IF(CY17=TRUE(),IF(CY15=OperationsEndDate,CY62,MIN(CY62,TotalCapEx*DepreciationRateQtrly)),0)</f>
        <v>4500000</v>
      </c>
      <c r="CZ64" s="23" t="n">
        <f aca="false">IF(CZ17=TRUE(),IF(CZ15=OperationsEndDate,CZ62,MIN(CZ62,TotalCapEx*DepreciationRateQtrly)),0)</f>
        <v>4500000</v>
      </c>
      <c r="DA64" s="23" t="n">
        <f aca="false">IF(DA17=TRUE(),IF(DA15=OperationsEndDate,DA62,MIN(DA62,TotalCapEx*DepreciationRateQtrly)),0)</f>
        <v>4500000</v>
      </c>
      <c r="DB64" s="23" t="n">
        <f aca="false">IF(DB17=TRUE(),IF(DB15=OperationsEndDate,DB62,MIN(DB62,TotalCapEx*DepreciationRateQtrly)),0)</f>
        <v>4500000</v>
      </c>
      <c r="DC64" s="23" t="n">
        <f aca="false">IF(DC17=TRUE(),IF(DC15=OperationsEndDate,DC62,MIN(DC62,TotalCapEx*DepreciationRateQtrly)),0)</f>
        <v>4500000</v>
      </c>
      <c r="DD64" s="23" t="n">
        <f aca="false">IF(DD17=TRUE(),IF(DD15=OperationsEndDate,DD62,MIN(DD62,TotalCapEx*DepreciationRateQtrly)),0)</f>
        <v>4500000</v>
      </c>
      <c r="DE64" s="23" t="n">
        <f aca="false">IF(DE17=TRUE(),IF(DE15=OperationsEndDate,DE62,MIN(DE62,TotalCapEx*DepreciationRateQtrly)),0)</f>
        <v>4500000</v>
      </c>
      <c r="DF64" s="23" t="n">
        <f aca="false">IF(DF17=TRUE(),IF(DF15=OperationsEndDate,DF62,MIN(DF62,TotalCapEx*DepreciationRateQtrly)),0)</f>
        <v>4500000</v>
      </c>
      <c r="DG64" s="23" t="n">
        <f aca="false">IF(DG17=TRUE(),IF(DG15=OperationsEndDate,DG62,MIN(DG62,TotalCapEx*DepreciationRateQtrly)),0)</f>
        <v>4500000</v>
      </c>
      <c r="DH64" s="23" t="n">
        <f aca="false">IF(DH17=TRUE(),IF(DH15=OperationsEndDate,DH62,MIN(DH62,TotalCapEx*DepreciationRateQtrly)),0)</f>
        <v>0</v>
      </c>
      <c r="DI64" s="23" t="n">
        <f aca="false">IF(DI17=TRUE(),IF(DI15=OperationsEndDate,DI62,MIN(DI62,TotalCapEx*DepreciationRateQtrly)),0)</f>
        <v>0</v>
      </c>
      <c r="DJ64" s="23" t="n">
        <f aca="false">IF(DJ17=TRUE(),IF(DJ15=OperationsEndDate,DJ62,MIN(DJ62,TotalCapEx*DepreciationRateQtrly)),0)</f>
        <v>0</v>
      </c>
      <c r="DK64" s="23" t="n">
        <f aca="false">IF(DK17=TRUE(),IF(DK15=OperationsEndDate,DK62,MIN(DK62,TotalCapEx*DepreciationRateQtrly)),0)</f>
        <v>0</v>
      </c>
      <c r="DL64" s="23" t="n">
        <f aca="false">IF(DL17=TRUE(),IF(DL15=OperationsEndDate,DL62,MIN(DL62,TotalCapEx*DepreciationRateQtrly)),0)</f>
        <v>0</v>
      </c>
      <c r="DM64" s="23" t="n">
        <f aca="false">IF(DM17=TRUE(),IF(DM15=OperationsEndDate,DM62,MIN(DM62,TotalCapEx*DepreciationRateQtrly)),0)</f>
        <v>0</v>
      </c>
      <c r="DN64" s="23" t="n">
        <f aca="false">IF(DN17=TRUE(),IF(DN15=OperationsEndDate,DN62,MIN(DN62,TotalCapEx*DepreciationRateQtrly)),0)</f>
        <v>0</v>
      </c>
      <c r="DO64" s="23" t="n">
        <f aca="false">IF(DO17=TRUE(),IF(DO15=OperationsEndDate,DO62,MIN(DO62,TotalCapEx*DepreciationRateQtrly)),0)</f>
        <v>0</v>
      </c>
      <c r="DP64" s="23" t="n">
        <f aca="false">IF(DP17=TRUE(),IF(DP15=OperationsEndDate,DP62,MIN(DP62,TotalCapEx*DepreciationRateQtrly)),0)</f>
        <v>0</v>
      </c>
      <c r="DQ64" s="23" t="n">
        <f aca="false">IF(DQ17=TRUE(),IF(DQ15=OperationsEndDate,DQ62,MIN(DQ62,TotalCapEx*DepreciationRateQtrly)),0)</f>
        <v>0</v>
      </c>
      <c r="DR64" s="23" t="n">
        <f aca="false">IF(DR17=TRUE(),IF(DR15=OperationsEndDate,DR62,MIN(DR62,TotalCapEx*DepreciationRateQtrly)),0)</f>
        <v>0</v>
      </c>
      <c r="DS64" s="23" t="n">
        <f aca="false">IF(DS17=TRUE(),IF(DS15=OperationsEndDate,DS62,MIN(DS62,TotalCapEx*DepreciationRateQtrly)),0)</f>
        <v>0</v>
      </c>
      <c r="DT64" s="23" t="n">
        <f aca="false">IF(DT17=TRUE(),IF(DT15=OperationsEndDate,DT62,MIN(DT62,TotalCapEx*DepreciationRateQtrly)),0)</f>
        <v>0</v>
      </c>
      <c r="DU64" s="23" t="n">
        <f aca="false">IF(DU17=TRUE(),IF(DU15=OperationsEndDate,DU62,MIN(DU62,TotalCapEx*DepreciationRateQtrly)),0)</f>
        <v>0</v>
      </c>
      <c r="DV64" s="23" t="n">
        <f aca="false">IF(DV17=TRUE(),IF(DV15=OperationsEndDate,DV62,MIN(DV62,TotalCapEx*DepreciationRateQtrly)),0)</f>
        <v>0</v>
      </c>
      <c r="DW64" s="23" t="n">
        <f aca="false">IF(DW17=TRUE(),IF(DW15=OperationsEndDate,DW62,MIN(DW62,TotalCapEx*DepreciationRateQtrly)),0)</f>
        <v>0</v>
      </c>
      <c r="DX64" s="23" t="n">
        <f aca="false">IF(DX17=TRUE(),IF(DX15=OperationsEndDate,DX62,MIN(DX62,TotalCapEx*DepreciationRateQtrly)),0)</f>
        <v>0</v>
      </c>
      <c r="DY64" s="23" t="n">
        <f aca="false">IF(DY17=TRUE(),IF(DY15=OperationsEndDate,DY62,MIN(DY62,TotalCapEx*DepreciationRateQtrly)),0)</f>
        <v>0</v>
      </c>
      <c r="DZ64" s="23" t="n">
        <f aca="false">IF(DZ17=TRUE(),IF(DZ15=OperationsEndDate,DZ62,MIN(DZ62,TotalCapEx*DepreciationRateQtrly)),0)</f>
        <v>0</v>
      </c>
      <c r="EA64" s="23" t="n">
        <f aca="false">IF(EA17=TRUE(),IF(EA15=OperationsEndDate,EA62,MIN(EA62,TotalCapEx*DepreciationRateQtrly)),0)</f>
        <v>0</v>
      </c>
      <c r="EB64" s="23" t="n">
        <f aca="false">IF(EB17=TRUE(),IF(EB15=OperationsEndDate,EB62,MIN(EB62,TotalCapEx*DepreciationRateQtrly)),0)</f>
        <v>0</v>
      </c>
      <c r="EC64" s="23" t="n">
        <f aca="false">IF(EC17=TRUE(),IF(EC15=OperationsEndDate,EC62,MIN(EC62,TotalCapEx*DepreciationRateQtrly)),0)</f>
        <v>0</v>
      </c>
      <c r="ED64" s="23" t="n">
        <f aca="false">IF(ED17=TRUE(),IF(ED15=OperationsEndDate,ED62,MIN(ED62,TotalCapEx*DepreciationRateQtrly)),0)</f>
        <v>0</v>
      </c>
      <c r="EE64" s="23" t="n">
        <f aca="false">IF(EE17=TRUE(),IF(EE15=OperationsEndDate,EE62,MIN(EE62,TotalCapEx*DepreciationRateQtrly)),0)</f>
        <v>0</v>
      </c>
      <c r="EF64" s="23" t="n">
        <f aca="false">IF(EF17=TRUE(),IF(EF15=OperationsEndDate,EF62,MIN(EF62,TotalCapEx*DepreciationRateQtrly)),0)</f>
        <v>0</v>
      </c>
      <c r="EG64" s="23" t="n">
        <f aca="false">IF(EG17=TRUE(),IF(EG15=OperationsEndDate,EG62,MIN(EG62,TotalCapEx*DepreciationRateQtrly)),0)</f>
        <v>0</v>
      </c>
      <c r="EH64" s="23" t="n">
        <f aca="false">IF(EH17=TRUE(),IF(EH15=OperationsEndDate,EH62,MIN(EH62,TotalCapEx*DepreciationRateQtrly)),0)</f>
        <v>0</v>
      </c>
      <c r="EI64" s="23" t="n">
        <f aca="false">IF(EI17=TRUE(),IF(EI15=OperationsEndDate,EI62,MIN(EI62,TotalCapEx*DepreciationRateQtrly)),0)</f>
        <v>0</v>
      </c>
      <c r="EJ64" s="23" t="n">
        <f aca="false">IF(EJ17=TRUE(),IF(EJ15=OperationsEndDate,EJ62,MIN(EJ62,TotalCapEx*DepreciationRateQtrly)),0)</f>
        <v>0</v>
      </c>
      <c r="EK64" s="23" t="n">
        <f aca="false">IF(EK17=TRUE(),IF(EK15=OperationsEndDate,EK62,MIN(EK62,TotalCapEx*DepreciationRateQtrly)),0)</f>
        <v>0</v>
      </c>
      <c r="EL64" s="23" t="n">
        <f aca="false">IF(EL17=TRUE(),IF(EL15=OperationsEndDate,EL62,MIN(EL62,TotalCapEx*DepreciationRateQtrly)),0)</f>
        <v>0</v>
      </c>
      <c r="EM64" s="23" t="n">
        <f aca="false">IF(EM17=TRUE(),IF(EM15=OperationsEndDate,EM62,MIN(EM62,TotalCapEx*DepreciationRateQtrly)),0)</f>
        <v>0</v>
      </c>
      <c r="EN64" s="23" t="n">
        <f aca="false">IF(EN17=TRUE(),IF(EN15=OperationsEndDate,EN62,MIN(EN62,TotalCapEx*DepreciationRateQtrly)),0)</f>
        <v>0</v>
      </c>
      <c r="EO64" s="23" t="n">
        <f aca="false">IF(EO17=TRUE(),IF(EO15=OperationsEndDate,EO62,MIN(EO62,TotalCapEx*DepreciationRateQtrly)),0)</f>
        <v>0</v>
      </c>
      <c r="EP64" s="23" t="n">
        <f aca="false">IF(EP17=TRUE(),IF(EP15=OperationsEndDate,EP62,MIN(EP62,TotalCapEx*DepreciationRateQtrly)),0)</f>
        <v>0</v>
      </c>
      <c r="EQ64" s="23" t="n">
        <f aca="false">IF(EQ17=TRUE(),IF(EQ15=OperationsEndDate,EQ62,MIN(EQ62,TotalCapEx*DepreciationRateQtrly)),0)</f>
        <v>0</v>
      </c>
      <c r="ER64" s="23" t="n">
        <f aca="false">IF(ER17=TRUE(),IF(ER15=OperationsEndDate,ER62,MIN(ER62,TotalCapEx*DepreciationRateQtrly)),0)</f>
        <v>0</v>
      </c>
      <c r="ES64" s="23" t="n">
        <f aca="false">IF(ES17=TRUE(),IF(ES15=OperationsEndDate,ES62,MIN(ES62,TotalCapEx*DepreciationRateQtrly)),0)</f>
        <v>0</v>
      </c>
      <c r="ET64" s="23" t="n">
        <f aca="false">IF(ET17=TRUE(),IF(ET15=OperationsEndDate,ET62,MIN(ET62,TotalCapEx*DepreciationRateQtrly)),0)</f>
        <v>0</v>
      </c>
      <c r="EU64" s="23" t="n">
        <f aca="false">IF(EU17=TRUE(),IF(EU15=OperationsEndDate,EU62,MIN(EU62,TotalCapEx*DepreciationRateQtrly)),0)</f>
        <v>0</v>
      </c>
      <c r="EV64" s="23" t="n">
        <f aca="false">IF(EV17=TRUE(),IF(EV15=OperationsEndDate,EV62,MIN(EV62,TotalCapEx*DepreciationRateQtrly)),0)</f>
        <v>0</v>
      </c>
      <c r="EW64" s="23" t="n">
        <f aca="false">IF(EW17=TRUE(),IF(EW15=OperationsEndDate,EW62,MIN(EW62,TotalCapEx*DepreciationRateQtrly)),0)</f>
        <v>0</v>
      </c>
      <c r="EX64" s="23" t="n">
        <f aca="false">IF(EX17=TRUE(),IF(EX15=OperationsEndDate,EX62,MIN(EX62,TotalCapEx*DepreciationRateQtrly)),0)</f>
        <v>0</v>
      </c>
      <c r="EY64" s="23" t="n">
        <f aca="false">IF(EY17=TRUE(),IF(EY15=OperationsEndDate,EY62,MIN(EY62,TotalCapEx*DepreciationRateQtrly)),0)</f>
        <v>0</v>
      </c>
      <c r="EZ64" s="23" t="n">
        <f aca="false">IF(EZ17=TRUE(),IF(EZ15=OperationsEndDate,EZ62,MIN(EZ62,TotalCapEx*DepreciationRateQtrly)),0)</f>
        <v>0</v>
      </c>
      <c r="FA64" s="23" t="n">
        <f aca="false">IF(FA17=TRUE(),IF(FA15=OperationsEndDate,FA62,MIN(FA62,TotalCapEx*DepreciationRateQtrly)),0)</f>
        <v>0</v>
      </c>
      <c r="FB64" s="23" t="n">
        <f aca="false">IF(FB17=TRUE(),IF(FB15=OperationsEndDate,FB62,MIN(FB62,TotalCapEx*DepreciationRateQtrly)),0)</f>
        <v>0</v>
      </c>
      <c r="FC64" s="23" t="n">
        <f aca="false">IF(FC17=TRUE(),IF(FC15=OperationsEndDate,FC62,MIN(FC62,TotalCapEx*DepreciationRateQtrly)),0)</f>
        <v>0</v>
      </c>
      <c r="FD64" s="23" t="n">
        <f aca="false">IF(FD17=TRUE(),IF(FD15=OperationsEndDate,FD62,MIN(FD62,TotalCapEx*DepreciationRateQtrly)),0)</f>
        <v>0</v>
      </c>
      <c r="FE64" s="23" t="n">
        <f aca="false">IF(FE17=TRUE(),IF(FE15=OperationsEndDate,FE62,MIN(FE62,TotalCapEx*DepreciationRateQtrly)),0)</f>
        <v>0</v>
      </c>
      <c r="FF64" s="23" t="n">
        <f aca="false">IF(FF17=TRUE(),IF(FF15=OperationsEndDate,FF62,MIN(FF62,TotalCapEx*DepreciationRateQtrly)),0)</f>
        <v>0</v>
      </c>
      <c r="FG64" s="23" t="n">
        <f aca="false">IF(FG17=TRUE(),IF(FG15=OperationsEndDate,FG62,MIN(FG62,TotalCapEx*DepreciationRateQtrly)),0)</f>
        <v>0</v>
      </c>
      <c r="FH64" s="23" t="n">
        <f aca="false">IF(FH17=TRUE(),IF(FH15=OperationsEndDate,FH62,MIN(FH62,TotalCapEx*DepreciationRateQtrly)),0)</f>
        <v>0</v>
      </c>
      <c r="FI64" s="23" t="n">
        <f aca="false">IF(FI17=TRUE(),IF(FI15=OperationsEndDate,FI62,MIN(FI62,TotalCapEx*DepreciationRateQtrly)),0)</f>
        <v>0</v>
      </c>
      <c r="FJ64" s="23" t="n">
        <f aca="false">IF(FJ17=TRUE(),IF(FJ15=OperationsEndDate,FJ62,MIN(FJ62,TotalCapEx*DepreciationRateQtrly)),0)</f>
        <v>0</v>
      </c>
      <c r="FK64" s="23" t="n">
        <f aca="false">IF(FK17=TRUE(),IF(FK15=OperationsEndDate,FK62,MIN(FK62,TotalCapEx*DepreciationRateQtrly)),0)</f>
        <v>0</v>
      </c>
    </row>
    <row r="65" customFormat="false" ht="15" hidden="false" customHeight="true" outlineLevel="0" collapsed="false">
      <c r="D65" s="21" t="s">
        <v>104</v>
      </c>
      <c r="E65" s="7" t="s">
        <v>28</v>
      </c>
      <c r="H65" s="23" t="n">
        <f aca="false">H62+H63-H64</f>
        <v>112500000</v>
      </c>
      <c r="I65" s="23" t="n">
        <f aca="false">I62+I63-I64</f>
        <v>225000000</v>
      </c>
      <c r="J65" s="23" t="n">
        <f aca="false">J62+J63-J64</f>
        <v>337500000</v>
      </c>
      <c r="K65" s="23" t="n">
        <f aca="false">K62+K63-K64</f>
        <v>450000000</v>
      </c>
      <c r="L65" s="23" t="n">
        <f aca="false">L62+L63-L64</f>
        <v>445500000</v>
      </c>
      <c r="M65" s="23" t="n">
        <f aca="false">M62+M63-M64</f>
        <v>441000000</v>
      </c>
      <c r="N65" s="23" t="n">
        <f aca="false">N62+N63-N64</f>
        <v>436500000</v>
      </c>
      <c r="O65" s="23" t="n">
        <f aca="false">O62+O63-O64</f>
        <v>432000000</v>
      </c>
      <c r="P65" s="23" t="n">
        <f aca="false">P62+P63-P64</f>
        <v>427500000</v>
      </c>
      <c r="Q65" s="23" t="n">
        <f aca="false">Q62+Q63-Q64</f>
        <v>423000000</v>
      </c>
      <c r="R65" s="23" t="n">
        <f aca="false">R62+R63-R64</f>
        <v>418500000</v>
      </c>
      <c r="S65" s="23" t="n">
        <f aca="false">S62+S63-S64</f>
        <v>414000000</v>
      </c>
      <c r="T65" s="23" t="n">
        <f aca="false">T62+T63-T64</f>
        <v>409500000</v>
      </c>
      <c r="U65" s="23" t="n">
        <f aca="false">U62+U63-U64</f>
        <v>405000000</v>
      </c>
      <c r="V65" s="23" t="n">
        <f aca="false">V62+V63-V64</f>
        <v>400500000</v>
      </c>
      <c r="W65" s="23" t="n">
        <f aca="false">W62+W63-W64</f>
        <v>396000000</v>
      </c>
      <c r="X65" s="23" t="n">
        <f aca="false">X62+X63-X64</f>
        <v>391500000</v>
      </c>
      <c r="Y65" s="23" t="n">
        <f aca="false">Y62+Y63-Y64</f>
        <v>387000000</v>
      </c>
      <c r="Z65" s="23" t="n">
        <f aca="false">Z62+Z63-Z64</f>
        <v>382500000</v>
      </c>
      <c r="AA65" s="23" t="n">
        <f aca="false">AA62+AA63-AA64</f>
        <v>378000000</v>
      </c>
      <c r="AB65" s="23" t="n">
        <f aca="false">AB62+AB63-AB64</f>
        <v>373500000</v>
      </c>
      <c r="AC65" s="23" t="n">
        <f aca="false">AC62+AC63-AC64</f>
        <v>369000000</v>
      </c>
      <c r="AD65" s="23" t="n">
        <f aca="false">AD62+AD63-AD64</f>
        <v>364500000</v>
      </c>
      <c r="AE65" s="23" t="n">
        <f aca="false">AE62+AE63-AE64</f>
        <v>360000000</v>
      </c>
      <c r="AF65" s="23" t="n">
        <f aca="false">AF62+AF63-AF64</f>
        <v>355500000</v>
      </c>
      <c r="AG65" s="23" t="n">
        <f aca="false">AG62+AG63-AG64</f>
        <v>351000000</v>
      </c>
      <c r="AH65" s="23" t="n">
        <f aca="false">AH62+AH63-AH64</f>
        <v>346500000</v>
      </c>
      <c r="AI65" s="23" t="n">
        <f aca="false">AI62+AI63-AI64</f>
        <v>342000000</v>
      </c>
      <c r="AJ65" s="23" t="n">
        <f aca="false">AJ62+AJ63-AJ64</f>
        <v>337500000</v>
      </c>
      <c r="AK65" s="23" t="n">
        <f aca="false">AK62+AK63-AK64</f>
        <v>333000000</v>
      </c>
      <c r="AL65" s="23" t="n">
        <f aca="false">AL62+AL63-AL64</f>
        <v>328500000</v>
      </c>
      <c r="AM65" s="23" t="n">
        <f aca="false">AM62+AM63-AM64</f>
        <v>324000000</v>
      </c>
      <c r="AN65" s="23" t="n">
        <f aca="false">AN62+AN63-AN64</f>
        <v>319500000</v>
      </c>
      <c r="AO65" s="23" t="n">
        <f aca="false">AO62+AO63-AO64</f>
        <v>315000000</v>
      </c>
      <c r="AP65" s="23" t="n">
        <f aca="false">AP62+AP63-AP64</f>
        <v>310500000</v>
      </c>
      <c r="AQ65" s="23" t="n">
        <f aca="false">AQ62+AQ63-AQ64</f>
        <v>306000000</v>
      </c>
      <c r="AR65" s="23" t="n">
        <f aca="false">AR62+AR63-AR64</f>
        <v>301500000</v>
      </c>
      <c r="AS65" s="23" t="n">
        <f aca="false">AS62+AS63-AS64</f>
        <v>297000000</v>
      </c>
      <c r="AT65" s="23" t="n">
        <f aca="false">AT62+AT63-AT64</f>
        <v>292500000</v>
      </c>
      <c r="AU65" s="23" t="n">
        <f aca="false">AU62+AU63-AU64</f>
        <v>288000000</v>
      </c>
      <c r="AV65" s="23" t="n">
        <f aca="false">AV62+AV63-AV64</f>
        <v>283500000</v>
      </c>
      <c r="AW65" s="23" t="n">
        <f aca="false">AW62+AW63-AW64</f>
        <v>279000000</v>
      </c>
      <c r="AX65" s="23" t="n">
        <f aca="false">AX62+AX63-AX64</f>
        <v>274500000</v>
      </c>
      <c r="AY65" s="23" t="n">
        <f aca="false">AY62+AY63-AY64</f>
        <v>270000000</v>
      </c>
      <c r="AZ65" s="23" t="n">
        <f aca="false">AZ62+AZ63-AZ64</f>
        <v>265500000</v>
      </c>
      <c r="BA65" s="23" t="n">
        <f aca="false">BA62+BA63-BA64</f>
        <v>261000000</v>
      </c>
      <c r="BB65" s="23" t="n">
        <f aca="false">BB62+BB63-BB64</f>
        <v>256500000</v>
      </c>
      <c r="BC65" s="23" t="n">
        <f aca="false">BC62+BC63-BC64</f>
        <v>252000000</v>
      </c>
      <c r="BD65" s="23" t="n">
        <f aca="false">BD62+BD63-BD64</f>
        <v>247500000</v>
      </c>
      <c r="BE65" s="23" t="n">
        <f aca="false">BE62+BE63-BE64</f>
        <v>243000000</v>
      </c>
      <c r="BF65" s="23" t="n">
        <f aca="false">BF62+BF63-BF64</f>
        <v>238500000</v>
      </c>
      <c r="BG65" s="23" t="n">
        <f aca="false">BG62+BG63-BG64</f>
        <v>234000000</v>
      </c>
      <c r="BH65" s="23" t="n">
        <f aca="false">BH62+BH63-BH64</f>
        <v>229500000</v>
      </c>
      <c r="BI65" s="23" t="n">
        <f aca="false">BI62+BI63-BI64</f>
        <v>225000000</v>
      </c>
      <c r="BJ65" s="23" t="n">
        <f aca="false">BJ62+BJ63-BJ64</f>
        <v>220500000</v>
      </c>
      <c r="BK65" s="23" t="n">
        <f aca="false">BK62+BK63-BK64</f>
        <v>216000000</v>
      </c>
      <c r="BL65" s="23" t="n">
        <f aca="false">BL62+BL63-BL64</f>
        <v>211500000</v>
      </c>
      <c r="BM65" s="23" t="n">
        <f aca="false">BM62+BM63-BM64</f>
        <v>207000000</v>
      </c>
      <c r="BN65" s="23" t="n">
        <f aca="false">BN62+BN63-BN64</f>
        <v>202500000</v>
      </c>
      <c r="BO65" s="23" t="n">
        <f aca="false">BO62+BO63-BO64</f>
        <v>198000000</v>
      </c>
      <c r="BP65" s="23" t="n">
        <f aca="false">BP62+BP63-BP64</f>
        <v>193500000</v>
      </c>
      <c r="BQ65" s="23" t="n">
        <f aca="false">BQ62+BQ63-BQ64</f>
        <v>189000000</v>
      </c>
      <c r="BR65" s="23" t="n">
        <f aca="false">BR62+BR63-BR64</f>
        <v>184500000</v>
      </c>
      <c r="BS65" s="23" t="n">
        <f aca="false">BS62+BS63-BS64</f>
        <v>180000000</v>
      </c>
      <c r="BT65" s="23" t="n">
        <f aca="false">BT62+BT63-BT64</f>
        <v>175500000</v>
      </c>
      <c r="BU65" s="23" t="n">
        <f aca="false">BU62+BU63-BU64</f>
        <v>171000000</v>
      </c>
      <c r="BV65" s="23" t="n">
        <f aca="false">BV62+BV63-BV64</f>
        <v>166500000</v>
      </c>
      <c r="BW65" s="23" t="n">
        <f aca="false">BW62+BW63-BW64</f>
        <v>162000000</v>
      </c>
      <c r="BX65" s="23" t="n">
        <f aca="false">BX62+BX63-BX64</f>
        <v>157500000</v>
      </c>
      <c r="BY65" s="23" t="n">
        <f aca="false">BY62+BY63-BY64</f>
        <v>153000000</v>
      </c>
      <c r="BZ65" s="23" t="n">
        <f aca="false">BZ62+BZ63-BZ64</f>
        <v>148500000</v>
      </c>
      <c r="CA65" s="23" t="n">
        <f aca="false">CA62+CA63-CA64</f>
        <v>144000000</v>
      </c>
      <c r="CB65" s="23" t="n">
        <f aca="false">CB62+CB63-CB64</f>
        <v>139500000</v>
      </c>
      <c r="CC65" s="23" t="n">
        <f aca="false">CC62+CC63-CC64</f>
        <v>135000000</v>
      </c>
      <c r="CD65" s="23" t="n">
        <f aca="false">CD62+CD63-CD64</f>
        <v>130500000</v>
      </c>
      <c r="CE65" s="23" t="n">
        <f aca="false">CE62+CE63-CE64</f>
        <v>126000000</v>
      </c>
      <c r="CF65" s="23" t="n">
        <f aca="false">CF62+CF63-CF64</f>
        <v>121500000</v>
      </c>
      <c r="CG65" s="23" t="n">
        <f aca="false">CG62+CG63-CG64</f>
        <v>117000000</v>
      </c>
      <c r="CH65" s="23" t="n">
        <f aca="false">CH62+CH63-CH64</f>
        <v>112500000</v>
      </c>
      <c r="CI65" s="23" t="n">
        <f aca="false">CI62+CI63-CI64</f>
        <v>108000000</v>
      </c>
      <c r="CJ65" s="23" t="n">
        <f aca="false">CJ62+CJ63-CJ64</f>
        <v>103500000</v>
      </c>
      <c r="CK65" s="23" t="n">
        <f aca="false">CK62+CK63-CK64</f>
        <v>99000000</v>
      </c>
      <c r="CL65" s="23" t="n">
        <f aca="false">CL62+CL63-CL64</f>
        <v>94500000</v>
      </c>
      <c r="CM65" s="23" t="n">
        <f aca="false">CM62+CM63-CM64</f>
        <v>90000000</v>
      </c>
      <c r="CN65" s="23" t="n">
        <f aca="false">CN62+CN63-CN64</f>
        <v>85500000</v>
      </c>
      <c r="CO65" s="23" t="n">
        <f aca="false">CO62+CO63-CO64</f>
        <v>81000000</v>
      </c>
      <c r="CP65" s="23" t="n">
        <f aca="false">CP62+CP63-CP64</f>
        <v>76500000</v>
      </c>
      <c r="CQ65" s="23" t="n">
        <f aca="false">CQ62+CQ63-CQ64</f>
        <v>72000000</v>
      </c>
      <c r="CR65" s="23" t="n">
        <f aca="false">CR62+CR63-CR64</f>
        <v>67500000</v>
      </c>
      <c r="CS65" s="23" t="n">
        <f aca="false">CS62+CS63-CS64</f>
        <v>63000000</v>
      </c>
      <c r="CT65" s="23" t="n">
        <f aca="false">CT62+CT63-CT64</f>
        <v>58500000</v>
      </c>
      <c r="CU65" s="23" t="n">
        <f aca="false">CU62+CU63-CU64</f>
        <v>54000000</v>
      </c>
      <c r="CV65" s="23" t="n">
        <f aca="false">CV62+CV63-CV64</f>
        <v>49500000</v>
      </c>
      <c r="CW65" s="23" t="n">
        <f aca="false">CW62+CW63-CW64</f>
        <v>45000000</v>
      </c>
      <c r="CX65" s="23" t="n">
        <f aca="false">CX62+CX63-CX64</f>
        <v>40500000</v>
      </c>
      <c r="CY65" s="23" t="n">
        <f aca="false">CY62+CY63-CY64</f>
        <v>36000000</v>
      </c>
      <c r="CZ65" s="23" t="n">
        <f aca="false">CZ62+CZ63-CZ64</f>
        <v>31500000</v>
      </c>
      <c r="DA65" s="23" t="n">
        <f aca="false">DA62+DA63-DA64</f>
        <v>27000000</v>
      </c>
      <c r="DB65" s="23" t="n">
        <f aca="false">DB62+DB63-DB64</f>
        <v>22500000</v>
      </c>
      <c r="DC65" s="23" t="n">
        <f aca="false">DC62+DC63-DC64</f>
        <v>18000000</v>
      </c>
      <c r="DD65" s="23" t="n">
        <f aca="false">DD62+DD63-DD64</f>
        <v>13500000</v>
      </c>
      <c r="DE65" s="23" t="n">
        <f aca="false">DE62+DE63-DE64</f>
        <v>9000000</v>
      </c>
      <c r="DF65" s="23" t="n">
        <f aca="false">DF62+DF63-DF64</f>
        <v>4500000</v>
      </c>
      <c r="DG65" s="23" t="n">
        <f aca="false">DG62+DG63-DG64</f>
        <v>0</v>
      </c>
      <c r="DH65" s="23" t="n">
        <f aca="false">DH62+DH63-DH64</f>
        <v>0</v>
      </c>
      <c r="DI65" s="23" t="n">
        <f aca="false">DI62+DI63-DI64</f>
        <v>0</v>
      </c>
      <c r="DJ65" s="23" t="n">
        <f aca="false">DJ62+DJ63-DJ64</f>
        <v>0</v>
      </c>
      <c r="DK65" s="23" t="n">
        <f aca="false">DK62+DK63-DK64</f>
        <v>0</v>
      </c>
      <c r="DL65" s="23" t="n">
        <f aca="false">DL62+DL63-DL64</f>
        <v>0</v>
      </c>
      <c r="DM65" s="23" t="n">
        <f aca="false">DM62+DM63-DM64</f>
        <v>0</v>
      </c>
      <c r="DN65" s="23" t="n">
        <f aca="false">DN62+DN63-DN64</f>
        <v>0</v>
      </c>
      <c r="DO65" s="23" t="n">
        <f aca="false">DO62+DO63-DO64</f>
        <v>0</v>
      </c>
      <c r="DP65" s="23" t="n">
        <f aca="false">DP62+DP63-DP64</f>
        <v>0</v>
      </c>
      <c r="DQ65" s="23" t="n">
        <f aca="false">DQ62+DQ63-DQ64</f>
        <v>0</v>
      </c>
      <c r="DR65" s="23" t="n">
        <f aca="false">DR62+DR63-DR64</f>
        <v>0</v>
      </c>
      <c r="DS65" s="23" t="n">
        <f aca="false">DS62+DS63-DS64</f>
        <v>0</v>
      </c>
      <c r="DT65" s="23" t="n">
        <f aca="false">DT62+DT63-DT64</f>
        <v>0</v>
      </c>
      <c r="DU65" s="23" t="n">
        <f aca="false">DU62+DU63-DU64</f>
        <v>0</v>
      </c>
      <c r="DV65" s="23" t="n">
        <f aca="false">DV62+DV63-DV64</f>
        <v>0</v>
      </c>
      <c r="DW65" s="23" t="n">
        <f aca="false">DW62+DW63-DW64</f>
        <v>0</v>
      </c>
      <c r="DX65" s="23" t="n">
        <f aca="false">DX62+DX63-DX64</f>
        <v>0</v>
      </c>
      <c r="DY65" s="23" t="n">
        <f aca="false">DY62+DY63-DY64</f>
        <v>0</v>
      </c>
      <c r="DZ65" s="23" t="n">
        <f aca="false">DZ62+DZ63-DZ64</f>
        <v>0</v>
      </c>
      <c r="EA65" s="23" t="n">
        <f aca="false">EA62+EA63-EA64</f>
        <v>0</v>
      </c>
      <c r="EB65" s="23" t="n">
        <f aca="false">EB62+EB63-EB64</f>
        <v>0</v>
      </c>
      <c r="EC65" s="23" t="n">
        <f aca="false">EC62+EC63-EC64</f>
        <v>0</v>
      </c>
      <c r="ED65" s="23" t="n">
        <f aca="false">ED62+ED63-ED64</f>
        <v>0</v>
      </c>
      <c r="EE65" s="23" t="n">
        <f aca="false">EE62+EE63-EE64</f>
        <v>0</v>
      </c>
      <c r="EF65" s="23" t="n">
        <f aca="false">EF62+EF63-EF64</f>
        <v>0</v>
      </c>
      <c r="EG65" s="23" t="n">
        <f aca="false">EG62+EG63-EG64</f>
        <v>0</v>
      </c>
      <c r="EH65" s="23" t="n">
        <f aca="false">EH62+EH63-EH64</f>
        <v>0</v>
      </c>
      <c r="EI65" s="23" t="n">
        <f aca="false">EI62+EI63-EI64</f>
        <v>0</v>
      </c>
      <c r="EJ65" s="23" t="n">
        <f aca="false">EJ62+EJ63-EJ64</f>
        <v>0</v>
      </c>
      <c r="EK65" s="23" t="n">
        <f aca="false">EK62+EK63-EK64</f>
        <v>0</v>
      </c>
      <c r="EL65" s="23" t="n">
        <f aca="false">EL62+EL63-EL64</f>
        <v>0</v>
      </c>
      <c r="EM65" s="23" t="n">
        <f aca="false">EM62+EM63-EM64</f>
        <v>0</v>
      </c>
      <c r="EN65" s="23" t="n">
        <f aca="false">EN62+EN63-EN64</f>
        <v>0</v>
      </c>
      <c r="EO65" s="23" t="n">
        <f aca="false">EO62+EO63-EO64</f>
        <v>0</v>
      </c>
      <c r="EP65" s="23" t="n">
        <f aca="false">EP62+EP63-EP64</f>
        <v>0</v>
      </c>
      <c r="EQ65" s="23" t="n">
        <f aca="false">EQ62+EQ63-EQ64</f>
        <v>0</v>
      </c>
      <c r="ER65" s="23" t="n">
        <f aca="false">ER62+ER63-ER64</f>
        <v>0</v>
      </c>
      <c r="ES65" s="23" t="n">
        <f aca="false">ES62+ES63-ES64</f>
        <v>0</v>
      </c>
      <c r="ET65" s="23" t="n">
        <f aca="false">ET62+ET63-ET64</f>
        <v>0</v>
      </c>
      <c r="EU65" s="23" t="n">
        <f aca="false">EU62+EU63-EU64</f>
        <v>0</v>
      </c>
      <c r="EV65" s="23" t="n">
        <f aca="false">EV62+EV63-EV64</f>
        <v>0</v>
      </c>
      <c r="EW65" s="23" t="n">
        <f aca="false">EW62+EW63-EW64</f>
        <v>0</v>
      </c>
      <c r="EX65" s="23" t="n">
        <f aca="false">EX62+EX63-EX64</f>
        <v>0</v>
      </c>
      <c r="EY65" s="23" t="n">
        <f aca="false">EY62+EY63-EY64</f>
        <v>0</v>
      </c>
      <c r="EZ65" s="23" t="n">
        <f aca="false">EZ62+EZ63-EZ64</f>
        <v>0</v>
      </c>
      <c r="FA65" s="23" t="n">
        <f aca="false">FA62+FA63-FA64</f>
        <v>0</v>
      </c>
      <c r="FB65" s="23" t="n">
        <f aca="false">FB62+FB63-FB64</f>
        <v>0</v>
      </c>
      <c r="FC65" s="23" t="n">
        <f aca="false">FC62+FC63-FC64</f>
        <v>0</v>
      </c>
      <c r="FD65" s="23" t="n">
        <f aca="false">FD62+FD63-FD64</f>
        <v>0</v>
      </c>
      <c r="FE65" s="23" t="n">
        <f aca="false">FE62+FE63-FE64</f>
        <v>0</v>
      </c>
      <c r="FF65" s="23" t="n">
        <f aca="false">FF62+FF63-FF64</f>
        <v>0</v>
      </c>
      <c r="FG65" s="23" t="n">
        <f aca="false">FG62+FG63-FG64</f>
        <v>0</v>
      </c>
      <c r="FH65" s="23" t="n">
        <f aca="false">FH62+FH63-FH64</f>
        <v>0</v>
      </c>
      <c r="FI65" s="23" t="n">
        <f aca="false">FI62+FI63-FI64</f>
        <v>0</v>
      </c>
      <c r="FJ65" s="23" t="n">
        <f aca="false">FJ62+FJ63-FJ64</f>
        <v>0</v>
      </c>
      <c r="FK65" s="23" t="n">
        <f aca="false">FK62+FK63-FK64</f>
        <v>0</v>
      </c>
    </row>
    <row r="67" customFormat="false" ht="15" hidden="false" customHeight="true" outlineLevel="0" collapsed="false">
      <c r="D67" s="20" t="s">
        <v>108</v>
      </c>
    </row>
    <row r="68" customFormat="false" ht="15" hidden="false" customHeight="true" outlineLevel="0" collapsed="false">
      <c r="D68" s="21" t="s">
        <v>109</v>
      </c>
      <c r="E68" s="7" t="s">
        <v>28</v>
      </c>
      <c r="F68" s="22"/>
      <c r="H68" s="23" t="n">
        <f aca="false">H35-H64</f>
        <v>0</v>
      </c>
      <c r="I68" s="23" t="n">
        <f aca="false">I35-I64</f>
        <v>0</v>
      </c>
      <c r="J68" s="23" t="n">
        <f aca="false">J35-J64</f>
        <v>0</v>
      </c>
      <c r="K68" s="23" t="n">
        <f aca="false">K35-K64</f>
        <v>0</v>
      </c>
      <c r="L68" s="23" t="n">
        <f aca="false">L35-L64</f>
        <v>5327500</v>
      </c>
      <c r="M68" s="23" t="n">
        <f aca="false">M35-M64</f>
        <v>5327500</v>
      </c>
      <c r="N68" s="23" t="n">
        <f aca="false">N35-N64</f>
        <v>5327500</v>
      </c>
      <c r="O68" s="23" t="n">
        <f aca="false">O35-O64</f>
        <v>5327500</v>
      </c>
      <c r="P68" s="23" t="n">
        <f aca="false">P35-P64</f>
        <v>5327500</v>
      </c>
      <c r="Q68" s="23" t="n">
        <f aca="false">Q35-Q64</f>
        <v>5327500</v>
      </c>
      <c r="R68" s="23" t="n">
        <f aca="false">R35-R64</f>
        <v>5327500</v>
      </c>
      <c r="S68" s="23" t="n">
        <f aca="false">S35-S64</f>
        <v>5327500</v>
      </c>
      <c r="T68" s="23" t="n">
        <f aca="false">T35-T64</f>
        <v>5327500</v>
      </c>
      <c r="U68" s="23" t="n">
        <f aca="false">U35-U64</f>
        <v>5327500</v>
      </c>
      <c r="V68" s="23" t="n">
        <f aca="false">V35-V64</f>
        <v>5327500</v>
      </c>
      <c r="W68" s="23" t="n">
        <f aca="false">W35-W64</f>
        <v>5327500</v>
      </c>
      <c r="X68" s="23" t="n">
        <f aca="false">X35-X64</f>
        <v>5327500</v>
      </c>
      <c r="Y68" s="23" t="n">
        <f aca="false">Y35-Y64</f>
        <v>5327500</v>
      </c>
      <c r="Z68" s="23" t="n">
        <f aca="false">Z35-Z64</f>
        <v>5327500</v>
      </c>
      <c r="AA68" s="23" t="n">
        <f aca="false">AA35-AA64</f>
        <v>5327500</v>
      </c>
      <c r="AB68" s="23" t="n">
        <f aca="false">AB35-AB64</f>
        <v>5327500</v>
      </c>
      <c r="AC68" s="23" t="n">
        <f aca="false">AC35-AC64</f>
        <v>5327500</v>
      </c>
      <c r="AD68" s="23" t="n">
        <f aca="false">AD35-AD64</f>
        <v>5327500</v>
      </c>
      <c r="AE68" s="23" t="n">
        <f aca="false">AE35-AE64</f>
        <v>5327500</v>
      </c>
      <c r="AF68" s="23" t="n">
        <f aca="false">AF35-AF64</f>
        <v>5327500</v>
      </c>
      <c r="AG68" s="23" t="n">
        <f aca="false">AG35-AG64</f>
        <v>5327500</v>
      </c>
      <c r="AH68" s="23" t="n">
        <f aca="false">AH35-AH64</f>
        <v>5327500</v>
      </c>
      <c r="AI68" s="23" t="n">
        <f aca="false">AI35-AI64</f>
        <v>5327500</v>
      </c>
      <c r="AJ68" s="23" t="n">
        <f aca="false">AJ35-AJ64</f>
        <v>5327500</v>
      </c>
      <c r="AK68" s="23" t="n">
        <f aca="false">AK35-AK64</f>
        <v>5327500</v>
      </c>
      <c r="AL68" s="23" t="n">
        <f aca="false">AL35-AL64</f>
        <v>5327500</v>
      </c>
      <c r="AM68" s="23" t="n">
        <f aca="false">AM35-AM64</f>
        <v>5327500</v>
      </c>
      <c r="AN68" s="23" t="n">
        <f aca="false">AN35-AN64</f>
        <v>5327500</v>
      </c>
      <c r="AO68" s="23" t="n">
        <f aca="false">AO35-AO64</f>
        <v>5327500</v>
      </c>
      <c r="AP68" s="23" t="n">
        <f aca="false">AP35-AP64</f>
        <v>5327500</v>
      </c>
      <c r="AQ68" s="23" t="n">
        <f aca="false">AQ35-AQ64</f>
        <v>5327500</v>
      </c>
      <c r="AR68" s="23" t="n">
        <f aca="false">AR35-AR64</f>
        <v>5327500</v>
      </c>
      <c r="AS68" s="23" t="n">
        <f aca="false">AS35-AS64</f>
        <v>5327500</v>
      </c>
      <c r="AT68" s="23" t="n">
        <f aca="false">AT35-AT64</f>
        <v>5327500</v>
      </c>
      <c r="AU68" s="23" t="n">
        <f aca="false">AU35-AU64</f>
        <v>5327500</v>
      </c>
      <c r="AV68" s="23" t="n">
        <f aca="false">AV35-AV64</f>
        <v>5327500</v>
      </c>
      <c r="AW68" s="23" t="n">
        <f aca="false">AW35-AW64</f>
        <v>5327500</v>
      </c>
      <c r="AX68" s="23" t="n">
        <f aca="false">AX35-AX64</f>
        <v>5327500</v>
      </c>
      <c r="AY68" s="23" t="n">
        <f aca="false">AY35-AY64</f>
        <v>5327500</v>
      </c>
      <c r="AZ68" s="23" t="n">
        <f aca="false">AZ35-AZ64</f>
        <v>5327500</v>
      </c>
      <c r="BA68" s="23" t="n">
        <f aca="false">BA35-BA64</f>
        <v>5327500</v>
      </c>
      <c r="BB68" s="23" t="n">
        <f aca="false">BB35-BB64</f>
        <v>5327500</v>
      </c>
      <c r="BC68" s="23" t="n">
        <f aca="false">BC35-BC64</f>
        <v>5327500</v>
      </c>
      <c r="BD68" s="23" t="n">
        <f aca="false">BD35-BD64</f>
        <v>5327500</v>
      </c>
      <c r="BE68" s="23" t="n">
        <f aca="false">BE35-BE64</f>
        <v>5327500</v>
      </c>
      <c r="BF68" s="23" t="n">
        <f aca="false">BF35-BF64</f>
        <v>5327500</v>
      </c>
      <c r="BG68" s="23" t="n">
        <f aca="false">BG35-BG64</f>
        <v>5327500</v>
      </c>
      <c r="BH68" s="23" t="n">
        <f aca="false">BH35-BH64</f>
        <v>5327500</v>
      </c>
      <c r="BI68" s="23" t="n">
        <f aca="false">BI35-BI64</f>
        <v>5327500</v>
      </c>
      <c r="BJ68" s="23" t="n">
        <f aca="false">BJ35-BJ64</f>
        <v>5327500</v>
      </c>
      <c r="BK68" s="23" t="n">
        <f aca="false">BK35-BK64</f>
        <v>5327500</v>
      </c>
      <c r="BL68" s="23" t="n">
        <f aca="false">BL35-BL64</f>
        <v>5327500</v>
      </c>
      <c r="BM68" s="23" t="n">
        <f aca="false">BM35-BM64</f>
        <v>5327500</v>
      </c>
      <c r="BN68" s="23" t="n">
        <f aca="false">BN35-BN64</f>
        <v>5327500</v>
      </c>
      <c r="BO68" s="23" t="n">
        <f aca="false">BO35-BO64</f>
        <v>5327500</v>
      </c>
      <c r="BP68" s="23" t="n">
        <f aca="false">BP35-BP64</f>
        <v>5327500</v>
      </c>
      <c r="BQ68" s="23" t="n">
        <f aca="false">BQ35-BQ64</f>
        <v>5327500</v>
      </c>
      <c r="BR68" s="23" t="n">
        <f aca="false">BR35-BR64</f>
        <v>5327500</v>
      </c>
      <c r="BS68" s="23" t="n">
        <f aca="false">BS35-BS64</f>
        <v>5327500</v>
      </c>
      <c r="BT68" s="23" t="n">
        <f aca="false">BT35-BT64</f>
        <v>5327500</v>
      </c>
      <c r="BU68" s="23" t="n">
        <f aca="false">BU35-BU64</f>
        <v>5327500</v>
      </c>
      <c r="BV68" s="23" t="n">
        <f aca="false">BV35-BV64</f>
        <v>5327500</v>
      </c>
      <c r="BW68" s="23" t="n">
        <f aca="false">BW35-BW64</f>
        <v>5327500</v>
      </c>
      <c r="BX68" s="23" t="n">
        <f aca="false">BX35-BX64</f>
        <v>5327500</v>
      </c>
      <c r="BY68" s="23" t="n">
        <f aca="false">BY35-BY64</f>
        <v>5327500</v>
      </c>
      <c r="BZ68" s="23" t="n">
        <f aca="false">BZ35-BZ64</f>
        <v>5327500</v>
      </c>
      <c r="CA68" s="23" t="n">
        <f aca="false">CA35-CA64</f>
        <v>5327500</v>
      </c>
      <c r="CB68" s="23" t="n">
        <f aca="false">CB35-CB64</f>
        <v>5327500</v>
      </c>
      <c r="CC68" s="23" t="n">
        <f aca="false">CC35-CC64</f>
        <v>5327500</v>
      </c>
      <c r="CD68" s="23" t="n">
        <f aca="false">CD35-CD64</f>
        <v>5327500</v>
      </c>
      <c r="CE68" s="23" t="n">
        <f aca="false">CE35-CE64</f>
        <v>5327500</v>
      </c>
      <c r="CF68" s="23" t="n">
        <f aca="false">CF35-CF64</f>
        <v>5327500</v>
      </c>
      <c r="CG68" s="23" t="n">
        <f aca="false">CG35-CG64</f>
        <v>5327500</v>
      </c>
      <c r="CH68" s="23" t="n">
        <f aca="false">CH35-CH64</f>
        <v>5327500</v>
      </c>
      <c r="CI68" s="23" t="n">
        <f aca="false">CI35-CI64</f>
        <v>5327500</v>
      </c>
      <c r="CJ68" s="23" t="n">
        <f aca="false">CJ35-CJ64</f>
        <v>5327500</v>
      </c>
      <c r="CK68" s="23" t="n">
        <f aca="false">CK35-CK64</f>
        <v>5327500</v>
      </c>
      <c r="CL68" s="23" t="n">
        <f aca="false">CL35-CL64</f>
        <v>5327500</v>
      </c>
      <c r="CM68" s="23" t="n">
        <f aca="false">CM35-CM64</f>
        <v>5327500</v>
      </c>
      <c r="CN68" s="23" t="n">
        <f aca="false">CN35-CN64</f>
        <v>5327500</v>
      </c>
      <c r="CO68" s="23" t="n">
        <f aca="false">CO35-CO64</f>
        <v>5327500</v>
      </c>
      <c r="CP68" s="23" t="n">
        <f aca="false">CP35-CP64</f>
        <v>5327500</v>
      </c>
      <c r="CQ68" s="23" t="n">
        <f aca="false">CQ35-CQ64</f>
        <v>5327500</v>
      </c>
      <c r="CR68" s="23" t="n">
        <f aca="false">CR35-CR64</f>
        <v>5327500</v>
      </c>
      <c r="CS68" s="23" t="n">
        <f aca="false">CS35-CS64</f>
        <v>5327500</v>
      </c>
      <c r="CT68" s="23" t="n">
        <f aca="false">CT35-CT64</f>
        <v>5327500</v>
      </c>
      <c r="CU68" s="23" t="n">
        <f aca="false">CU35-CU64</f>
        <v>5327500</v>
      </c>
      <c r="CV68" s="23" t="n">
        <f aca="false">CV35-CV64</f>
        <v>5327500</v>
      </c>
      <c r="CW68" s="23" t="n">
        <f aca="false">CW35-CW64</f>
        <v>5327500</v>
      </c>
      <c r="CX68" s="23" t="n">
        <f aca="false">CX35-CX64</f>
        <v>5327500</v>
      </c>
      <c r="CY68" s="23" t="n">
        <f aca="false">CY35-CY64</f>
        <v>5327500</v>
      </c>
      <c r="CZ68" s="23" t="n">
        <f aca="false">CZ35-CZ64</f>
        <v>5327500</v>
      </c>
      <c r="DA68" s="23" t="n">
        <f aca="false">DA35-DA64</f>
        <v>5327500</v>
      </c>
      <c r="DB68" s="23" t="n">
        <f aca="false">DB35-DB64</f>
        <v>5327500</v>
      </c>
      <c r="DC68" s="23" t="n">
        <f aca="false">DC35-DC64</f>
        <v>5327500</v>
      </c>
      <c r="DD68" s="23" t="n">
        <f aca="false">DD35-DD64</f>
        <v>5327500</v>
      </c>
      <c r="DE68" s="23" t="n">
        <f aca="false">DE35-DE64</f>
        <v>5327500</v>
      </c>
      <c r="DF68" s="23" t="n">
        <f aca="false">DF35-DF64</f>
        <v>5327500</v>
      </c>
      <c r="DG68" s="23" t="n">
        <f aca="false">DG35-DG64</f>
        <v>5327500</v>
      </c>
      <c r="DH68" s="23" t="n">
        <f aca="false">DH35-DH64</f>
        <v>9827500</v>
      </c>
      <c r="DI68" s="23" t="n">
        <f aca="false">DI35-DI64</f>
        <v>9827500</v>
      </c>
      <c r="DJ68" s="23" t="n">
        <f aca="false">DJ35-DJ64</f>
        <v>9827500</v>
      </c>
      <c r="DK68" s="23" t="n">
        <f aca="false">DK35-DK64</f>
        <v>9827500</v>
      </c>
      <c r="DL68" s="23" t="n">
        <f aca="false">DL35-DL64</f>
        <v>9827500</v>
      </c>
      <c r="DM68" s="23" t="n">
        <f aca="false">DM35-DM64</f>
        <v>9827500</v>
      </c>
      <c r="DN68" s="23" t="n">
        <f aca="false">DN35-DN64</f>
        <v>9827500</v>
      </c>
      <c r="DO68" s="23" t="n">
        <f aca="false">DO35-DO64</f>
        <v>9827500</v>
      </c>
      <c r="DP68" s="23" t="n">
        <f aca="false">DP35-DP64</f>
        <v>9827500</v>
      </c>
      <c r="DQ68" s="23" t="n">
        <f aca="false">DQ35-DQ64</f>
        <v>9827500</v>
      </c>
      <c r="DR68" s="23" t="n">
        <f aca="false">DR35-DR64</f>
        <v>9827500</v>
      </c>
      <c r="DS68" s="23" t="n">
        <f aca="false">DS35-DS64</f>
        <v>9827500</v>
      </c>
      <c r="DT68" s="23" t="n">
        <f aca="false">DT35-DT64</f>
        <v>9827500</v>
      </c>
      <c r="DU68" s="23" t="n">
        <f aca="false">DU35-DU64</f>
        <v>9827500</v>
      </c>
      <c r="DV68" s="23" t="n">
        <f aca="false">DV35-DV64</f>
        <v>9827500</v>
      </c>
      <c r="DW68" s="23" t="n">
        <f aca="false">DW35-DW64</f>
        <v>9827500</v>
      </c>
      <c r="DX68" s="23" t="n">
        <f aca="false">DX35-DX64</f>
        <v>9827500</v>
      </c>
      <c r="DY68" s="23" t="n">
        <f aca="false">DY35-DY64</f>
        <v>9827500</v>
      </c>
      <c r="DZ68" s="23" t="n">
        <f aca="false">DZ35-DZ64</f>
        <v>9827500</v>
      </c>
      <c r="EA68" s="23" t="n">
        <f aca="false">EA35-EA64</f>
        <v>9827500</v>
      </c>
      <c r="EB68" s="23" t="n">
        <f aca="false">EB35-EB64</f>
        <v>0</v>
      </c>
      <c r="EC68" s="23" t="n">
        <f aca="false">EC35-EC64</f>
        <v>0</v>
      </c>
      <c r="ED68" s="23" t="n">
        <f aca="false">ED35-ED64</f>
        <v>0</v>
      </c>
      <c r="EE68" s="23" t="n">
        <f aca="false">EE35-EE64</f>
        <v>0</v>
      </c>
      <c r="EF68" s="23" t="n">
        <f aca="false">EF35-EF64</f>
        <v>0</v>
      </c>
      <c r="EG68" s="23" t="n">
        <f aca="false">EG35-EG64</f>
        <v>0</v>
      </c>
      <c r="EH68" s="23" t="n">
        <f aca="false">EH35-EH64</f>
        <v>0</v>
      </c>
      <c r="EI68" s="23" t="n">
        <f aca="false">EI35-EI64</f>
        <v>0</v>
      </c>
      <c r="EJ68" s="23" t="n">
        <f aca="false">EJ35-EJ64</f>
        <v>0</v>
      </c>
      <c r="EK68" s="23" t="n">
        <f aca="false">EK35-EK64</f>
        <v>0</v>
      </c>
      <c r="EL68" s="23" t="n">
        <f aca="false">EL35-EL64</f>
        <v>0</v>
      </c>
      <c r="EM68" s="23" t="n">
        <f aca="false">EM35-EM64</f>
        <v>0</v>
      </c>
      <c r="EN68" s="23" t="n">
        <f aca="false">EN35-EN64</f>
        <v>0</v>
      </c>
      <c r="EO68" s="23" t="n">
        <f aca="false">EO35-EO64</f>
        <v>0</v>
      </c>
      <c r="EP68" s="23" t="n">
        <f aca="false">EP35-EP64</f>
        <v>0</v>
      </c>
      <c r="EQ68" s="23" t="n">
        <f aca="false">EQ35-EQ64</f>
        <v>0</v>
      </c>
      <c r="ER68" s="23" t="n">
        <f aca="false">ER35-ER64</f>
        <v>0</v>
      </c>
      <c r="ES68" s="23" t="n">
        <f aca="false">ES35-ES64</f>
        <v>0</v>
      </c>
      <c r="ET68" s="23" t="n">
        <f aca="false">ET35-ET64</f>
        <v>0</v>
      </c>
      <c r="EU68" s="23" t="n">
        <f aca="false">EU35-EU64</f>
        <v>0</v>
      </c>
      <c r="EV68" s="23" t="n">
        <f aca="false">EV35-EV64</f>
        <v>0</v>
      </c>
      <c r="EW68" s="23" t="n">
        <f aca="false">EW35-EW64</f>
        <v>0</v>
      </c>
      <c r="EX68" s="23" t="n">
        <f aca="false">EX35-EX64</f>
        <v>0</v>
      </c>
      <c r="EY68" s="23" t="n">
        <f aca="false">EY35-EY64</f>
        <v>0</v>
      </c>
      <c r="EZ68" s="23" t="n">
        <f aca="false">EZ35-EZ64</f>
        <v>0</v>
      </c>
      <c r="FA68" s="23" t="n">
        <f aca="false">FA35-FA64</f>
        <v>0</v>
      </c>
      <c r="FB68" s="23" t="n">
        <f aca="false">FB35-FB64</f>
        <v>0</v>
      </c>
      <c r="FC68" s="23" t="n">
        <f aca="false">FC35-FC64</f>
        <v>0</v>
      </c>
      <c r="FD68" s="23" t="n">
        <f aca="false">FD35-FD64</f>
        <v>0</v>
      </c>
      <c r="FE68" s="23" t="n">
        <f aca="false">FE35-FE64</f>
        <v>0</v>
      </c>
      <c r="FF68" s="23" t="n">
        <f aca="false">FF35-FF64</f>
        <v>0</v>
      </c>
      <c r="FG68" s="23" t="n">
        <f aca="false">FG35-FG64</f>
        <v>0</v>
      </c>
      <c r="FH68" s="23" t="n">
        <f aca="false">FH35-FH64</f>
        <v>0</v>
      </c>
      <c r="FI68" s="23" t="n">
        <f aca="false">FI35-FI64</f>
        <v>0</v>
      </c>
      <c r="FJ68" s="23" t="n">
        <f aca="false">FJ35-FJ64</f>
        <v>0</v>
      </c>
      <c r="FK68" s="23" t="n">
        <f aca="false">FK35-FK64</f>
        <v>0</v>
      </c>
    </row>
    <row r="69" customFormat="false" ht="15" hidden="false" customHeight="true" outlineLevel="0" collapsed="false">
      <c r="D69" s="21" t="s">
        <v>110</v>
      </c>
      <c r="E69" s="7" t="s">
        <v>28</v>
      </c>
      <c r="F69" s="22"/>
      <c r="H69" s="23" t="s">
        <v>101</v>
      </c>
      <c r="I69" s="23" t="n">
        <f aca="false">H72</f>
        <v>0</v>
      </c>
      <c r="J69" s="23" t="n">
        <f aca="false">I72</f>
        <v>0</v>
      </c>
      <c r="K69" s="23" t="n">
        <f aca="false">J72</f>
        <v>0</v>
      </c>
      <c r="L69" s="23" t="n">
        <f aca="false">K72</f>
        <v>0</v>
      </c>
      <c r="M69" s="23" t="n">
        <f aca="false">L72</f>
        <v>0</v>
      </c>
      <c r="N69" s="23" t="n">
        <f aca="false">M72</f>
        <v>0</v>
      </c>
      <c r="O69" s="23" t="n">
        <f aca="false">N72</f>
        <v>0</v>
      </c>
      <c r="P69" s="23" t="n">
        <f aca="false">O72</f>
        <v>0</v>
      </c>
      <c r="Q69" s="23" t="n">
        <f aca="false">P72</f>
        <v>0</v>
      </c>
      <c r="R69" s="23" t="n">
        <f aca="false">Q72</f>
        <v>0</v>
      </c>
      <c r="S69" s="23" t="n">
        <f aca="false">R72</f>
        <v>0</v>
      </c>
      <c r="T69" s="23" t="n">
        <f aca="false">S72</f>
        <v>0</v>
      </c>
      <c r="U69" s="23" t="n">
        <f aca="false">T72</f>
        <v>0</v>
      </c>
      <c r="V69" s="23" t="n">
        <f aca="false">U72</f>
        <v>0</v>
      </c>
      <c r="W69" s="23" t="n">
        <f aca="false">V72</f>
        <v>0</v>
      </c>
      <c r="X69" s="23" t="n">
        <f aca="false">W72</f>
        <v>0</v>
      </c>
      <c r="Y69" s="23" t="n">
        <f aca="false">X72</f>
        <v>0</v>
      </c>
      <c r="Z69" s="23" t="n">
        <f aca="false">Y72</f>
        <v>0</v>
      </c>
      <c r="AA69" s="23" t="n">
        <f aca="false">Z72</f>
        <v>0</v>
      </c>
      <c r="AB69" s="23" t="n">
        <f aca="false">AA72</f>
        <v>0</v>
      </c>
      <c r="AC69" s="23" t="n">
        <f aca="false">AB72</f>
        <v>0</v>
      </c>
      <c r="AD69" s="23" t="n">
        <f aca="false">AC72</f>
        <v>0</v>
      </c>
      <c r="AE69" s="23" t="n">
        <f aca="false">AD72</f>
        <v>0</v>
      </c>
      <c r="AF69" s="23" t="n">
        <f aca="false">AE72</f>
        <v>0</v>
      </c>
      <c r="AG69" s="23" t="n">
        <f aca="false">AF72</f>
        <v>0</v>
      </c>
      <c r="AH69" s="23" t="n">
        <f aca="false">AG72</f>
        <v>0</v>
      </c>
      <c r="AI69" s="23" t="n">
        <f aca="false">AH72</f>
        <v>0</v>
      </c>
      <c r="AJ69" s="23" t="n">
        <f aca="false">AI72</f>
        <v>0</v>
      </c>
      <c r="AK69" s="23" t="n">
        <f aca="false">AJ72</f>
        <v>0</v>
      </c>
      <c r="AL69" s="23" t="n">
        <f aca="false">AK72</f>
        <v>0</v>
      </c>
      <c r="AM69" s="23" t="n">
        <f aca="false">AL72</f>
        <v>0</v>
      </c>
      <c r="AN69" s="23" t="n">
        <f aca="false">AM72</f>
        <v>0</v>
      </c>
      <c r="AO69" s="23" t="n">
        <f aca="false">AN72</f>
        <v>0</v>
      </c>
      <c r="AP69" s="23" t="n">
        <f aca="false">AO72</f>
        <v>0</v>
      </c>
      <c r="AQ69" s="23" t="n">
        <f aca="false">AP72</f>
        <v>0</v>
      </c>
      <c r="AR69" s="23" t="n">
        <f aca="false">AQ72</f>
        <v>0</v>
      </c>
      <c r="AS69" s="23" t="n">
        <f aca="false">AR72</f>
        <v>0</v>
      </c>
      <c r="AT69" s="23" t="n">
        <f aca="false">AS72</f>
        <v>0</v>
      </c>
      <c r="AU69" s="23" t="n">
        <f aca="false">AT72</f>
        <v>0</v>
      </c>
      <c r="AV69" s="23" t="n">
        <f aca="false">AU72</f>
        <v>0</v>
      </c>
      <c r="AW69" s="23" t="n">
        <f aca="false">AV72</f>
        <v>0</v>
      </c>
      <c r="AX69" s="23" t="n">
        <f aca="false">AW72</f>
        <v>0</v>
      </c>
      <c r="AY69" s="23" t="n">
        <f aca="false">AX72</f>
        <v>0</v>
      </c>
      <c r="AZ69" s="23" t="n">
        <f aca="false">AY72</f>
        <v>0</v>
      </c>
      <c r="BA69" s="23" t="n">
        <f aca="false">AZ72</f>
        <v>0</v>
      </c>
      <c r="BB69" s="23" t="n">
        <f aca="false">BA72</f>
        <v>0</v>
      </c>
      <c r="BC69" s="23" t="n">
        <f aca="false">BB72</f>
        <v>0</v>
      </c>
      <c r="BD69" s="23" t="n">
        <f aca="false">BC72</f>
        <v>0</v>
      </c>
      <c r="BE69" s="23" t="n">
        <f aca="false">BD72</f>
        <v>0</v>
      </c>
      <c r="BF69" s="23" t="n">
        <f aca="false">BE72</f>
        <v>0</v>
      </c>
      <c r="BG69" s="23" t="n">
        <f aca="false">BF72</f>
        <v>0</v>
      </c>
      <c r="BH69" s="23" t="n">
        <f aca="false">BG72</f>
        <v>0</v>
      </c>
      <c r="BI69" s="23" t="n">
        <f aca="false">BH72</f>
        <v>0</v>
      </c>
      <c r="BJ69" s="23" t="n">
        <f aca="false">BI72</f>
        <v>0</v>
      </c>
      <c r="BK69" s="23" t="n">
        <f aca="false">BJ72</f>
        <v>0</v>
      </c>
      <c r="BL69" s="23" t="n">
        <f aca="false">BK72</f>
        <v>0</v>
      </c>
      <c r="BM69" s="23" t="n">
        <f aca="false">BL72</f>
        <v>0</v>
      </c>
      <c r="BN69" s="23" t="n">
        <f aca="false">BM72</f>
        <v>0</v>
      </c>
      <c r="BO69" s="23" t="n">
        <f aca="false">BN72</f>
        <v>0</v>
      </c>
      <c r="BP69" s="23" t="n">
        <f aca="false">BO72</f>
        <v>0</v>
      </c>
      <c r="BQ69" s="23" t="n">
        <f aca="false">BP72</f>
        <v>0</v>
      </c>
      <c r="BR69" s="23" t="n">
        <f aca="false">BQ72</f>
        <v>0</v>
      </c>
      <c r="BS69" s="23" t="n">
        <f aca="false">BR72</f>
        <v>0</v>
      </c>
      <c r="BT69" s="23" t="n">
        <f aca="false">BS72</f>
        <v>0</v>
      </c>
      <c r="BU69" s="23" t="n">
        <f aca="false">BT72</f>
        <v>0</v>
      </c>
      <c r="BV69" s="23" t="n">
        <f aca="false">BU72</f>
        <v>0</v>
      </c>
      <c r="BW69" s="23" t="n">
        <f aca="false">BV72</f>
        <v>0</v>
      </c>
      <c r="BX69" s="23" t="n">
        <f aca="false">BW72</f>
        <v>0</v>
      </c>
      <c r="BY69" s="23" t="n">
        <f aca="false">BX72</f>
        <v>0</v>
      </c>
      <c r="BZ69" s="23" t="n">
        <f aca="false">BY72</f>
        <v>0</v>
      </c>
      <c r="CA69" s="23" t="n">
        <f aca="false">BZ72</f>
        <v>0</v>
      </c>
      <c r="CB69" s="23" t="n">
        <f aca="false">CA72</f>
        <v>0</v>
      </c>
      <c r="CC69" s="23" t="n">
        <f aca="false">CB72</f>
        <v>0</v>
      </c>
      <c r="CD69" s="23" t="n">
        <f aca="false">CC72</f>
        <v>0</v>
      </c>
      <c r="CE69" s="23" t="n">
        <f aca="false">CD72</f>
        <v>0</v>
      </c>
      <c r="CF69" s="23" t="n">
        <f aca="false">CE72</f>
        <v>0</v>
      </c>
      <c r="CG69" s="23" t="n">
        <f aca="false">CF72</f>
        <v>0</v>
      </c>
      <c r="CH69" s="23" t="n">
        <f aca="false">CG72</f>
        <v>0</v>
      </c>
      <c r="CI69" s="23" t="n">
        <f aca="false">CH72</f>
        <v>0</v>
      </c>
      <c r="CJ69" s="23" t="n">
        <f aca="false">CI72</f>
        <v>0</v>
      </c>
      <c r="CK69" s="23" t="n">
        <f aca="false">CJ72</f>
        <v>0</v>
      </c>
      <c r="CL69" s="23" t="n">
        <f aca="false">CK72</f>
        <v>0</v>
      </c>
      <c r="CM69" s="23" t="n">
        <f aca="false">CL72</f>
        <v>0</v>
      </c>
      <c r="CN69" s="23" t="n">
        <f aca="false">CM72</f>
        <v>0</v>
      </c>
      <c r="CO69" s="23" t="n">
        <f aca="false">CN72</f>
        <v>0</v>
      </c>
      <c r="CP69" s="23" t="n">
        <f aca="false">CO72</f>
        <v>0</v>
      </c>
      <c r="CQ69" s="23" t="n">
        <f aca="false">CP72</f>
        <v>0</v>
      </c>
      <c r="CR69" s="23" t="n">
        <f aca="false">CQ72</f>
        <v>0</v>
      </c>
      <c r="CS69" s="23" t="n">
        <f aca="false">CR72</f>
        <v>0</v>
      </c>
      <c r="CT69" s="23" t="n">
        <f aca="false">CS72</f>
        <v>0</v>
      </c>
      <c r="CU69" s="23" t="n">
        <f aca="false">CT72</f>
        <v>0</v>
      </c>
      <c r="CV69" s="23" t="n">
        <f aca="false">CU72</f>
        <v>0</v>
      </c>
      <c r="CW69" s="23" t="n">
        <f aca="false">CV72</f>
        <v>0</v>
      </c>
      <c r="CX69" s="23" t="n">
        <f aca="false">CW72</f>
        <v>0</v>
      </c>
      <c r="CY69" s="23" t="n">
        <f aca="false">CX72</f>
        <v>0</v>
      </c>
      <c r="CZ69" s="23" t="n">
        <f aca="false">CY72</f>
        <v>0</v>
      </c>
      <c r="DA69" s="23" t="n">
        <f aca="false">CZ72</f>
        <v>0</v>
      </c>
      <c r="DB69" s="23" t="n">
        <f aca="false">DA72</f>
        <v>0</v>
      </c>
      <c r="DC69" s="23" t="n">
        <f aca="false">DB72</f>
        <v>0</v>
      </c>
      <c r="DD69" s="23" t="n">
        <f aca="false">DC72</f>
        <v>0</v>
      </c>
      <c r="DE69" s="23" t="n">
        <f aca="false">DD72</f>
        <v>0</v>
      </c>
      <c r="DF69" s="23" t="n">
        <f aca="false">DE72</f>
        <v>0</v>
      </c>
      <c r="DG69" s="23" t="n">
        <f aca="false">DF72</f>
        <v>0</v>
      </c>
      <c r="DH69" s="23" t="n">
        <f aca="false">DG72</f>
        <v>0</v>
      </c>
      <c r="DI69" s="23" t="n">
        <f aca="false">DH72</f>
        <v>0</v>
      </c>
      <c r="DJ69" s="23" t="n">
        <f aca="false">DI72</f>
        <v>0</v>
      </c>
      <c r="DK69" s="23" t="n">
        <f aca="false">DJ72</f>
        <v>0</v>
      </c>
      <c r="DL69" s="23" t="n">
        <f aca="false">DK72</f>
        <v>0</v>
      </c>
      <c r="DM69" s="23" t="n">
        <f aca="false">DL72</f>
        <v>0</v>
      </c>
      <c r="DN69" s="23" t="n">
        <f aca="false">DM72</f>
        <v>0</v>
      </c>
      <c r="DO69" s="23" t="n">
        <f aca="false">DN72</f>
        <v>0</v>
      </c>
      <c r="DP69" s="23" t="n">
        <f aca="false">DO72</f>
        <v>0</v>
      </c>
      <c r="DQ69" s="23" t="n">
        <f aca="false">DP72</f>
        <v>0</v>
      </c>
      <c r="DR69" s="23" t="n">
        <f aca="false">DQ72</f>
        <v>0</v>
      </c>
      <c r="DS69" s="23" t="n">
        <f aca="false">DR72</f>
        <v>0</v>
      </c>
      <c r="DT69" s="23" t="n">
        <f aca="false">DS72</f>
        <v>0</v>
      </c>
      <c r="DU69" s="23" t="n">
        <f aca="false">DT72</f>
        <v>0</v>
      </c>
      <c r="DV69" s="23" t="n">
        <f aca="false">DU72</f>
        <v>0</v>
      </c>
      <c r="DW69" s="23" t="n">
        <f aca="false">DV72</f>
        <v>0</v>
      </c>
      <c r="DX69" s="23" t="n">
        <f aca="false">DW72</f>
        <v>0</v>
      </c>
      <c r="DY69" s="23" t="n">
        <f aca="false">DX72</f>
        <v>0</v>
      </c>
      <c r="DZ69" s="23" t="n">
        <f aca="false">DY72</f>
        <v>0</v>
      </c>
      <c r="EA69" s="23" t="n">
        <f aca="false">DZ72</f>
        <v>0</v>
      </c>
      <c r="EB69" s="23" t="n">
        <f aca="false">EA72</f>
        <v>0</v>
      </c>
      <c r="EC69" s="23" t="n">
        <f aca="false">EB72</f>
        <v>0</v>
      </c>
      <c r="ED69" s="23" t="n">
        <f aca="false">EC72</f>
        <v>0</v>
      </c>
      <c r="EE69" s="23" t="n">
        <f aca="false">ED72</f>
        <v>0</v>
      </c>
      <c r="EF69" s="23" t="n">
        <f aca="false">EE72</f>
        <v>0</v>
      </c>
      <c r="EG69" s="23" t="n">
        <f aca="false">EF72</f>
        <v>0</v>
      </c>
      <c r="EH69" s="23" t="n">
        <f aca="false">EG72</f>
        <v>0</v>
      </c>
      <c r="EI69" s="23" t="n">
        <f aca="false">EH72</f>
        <v>0</v>
      </c>
      <c r="EJ69" s="23" t="n">
        <f aca="false">EI72</f>
        <v>0</v>
      </c>
      <c r="EK69" s="23" t="n">
        <f aca="false">EJ72</f>
        <v>0</v>
      </c>
      <c r="EL69" s="23" t="n">
        <f aca="false">EK72</f>
        <v>0</v>
      </c>
      <c r="EM69" s="23" t="n">
        <f aca="false">EL72</f>
        <v>0</v>
      </c>
      <c r="EN69" s="23" t="n">
        <f aca="false">EM72</f>
        <v>0</v>
      </c>
      <c r="EO69" s="23" t="n">
        <f aca="false">EN72</f>
        <v>0</v>
      </c>
      <c r="EP69" s="23" t="n">
        <f aca="false">EO72</f>
        <v>0</v>
      </c>
      <c r="EQ69" s="23" t="n">
        <f aca="false">EP72</f>
        <v>0</v>
      </c>
      <c r="ER69" s="23" t="n">
        <f aca="false">EQ72</f>
        <v>0</v>
      </c>
      <c r="ES69" s="23" t="n">
        <f aca="false">ER72</f>
        <v>0</v>
      </c>
      <c r="ET69" s="23" t="n">
        <f aca="false">ES72</f>
        <v>0</v>
      </c>
      <c r="EU69" s="23" t="n">
        <f aca="false">ET72</f>
        <v>0</v>
      </c>
      <c r="EV69" s="23" t="n">
        <f aca="false">EU72</f>
        <v>0</v>
      </c>
      <c r="EW69" s="23" t="n">
        <f aca="false">EV72</f>
        <v>0</v>
      </c>
      <c r="EX69" s="23" t="n">
        <f aca="false">EW72</f>
        <v>0</v>
      </c>
      <c r="EY69" s="23" t="n">
        <f aca="false">EX72</f>
        <v>0</v>
      </c>
      <c r="EZ69" s="23" t="n">
        <f aca="false">EY72</f>
        <v>0</v>
      </c>
      <c r="FA69" s="23" t="n">
        <f aca="false">EZ72</f>
        <v>0</v>
      </c>
      <c r="FB69" s="23" t="n">
        <f aca="false">FA72</f>
        <v>0</v>
      </c>
      <c r="FC69" s="23" t="n">
        <f aca="false">FB72</f>
        <v>0</v>
      </c>
      <c r="FD69" s="23" t="n">
        <f aca="false">FC72</f>
        <v>0</v>
      </c>
      <c r="FE69" s="23" t="n">
        <f aca="false">FD72</f>
        <v>0</v>
      </c>
      <c r="FF69" s="23" t="n">
        <f aca="false">FE72</f>
        <v>0</v>
      </c>
      <c r="FG69" s="23" t="n">
        <f aca="false">FF72</f>
        <v>0</v>
      </c>
      <c r="FH69" s="23" t="n">
        <f aca="false">FG72</f>
        <v>0</v>
      </c>
      <c r="FI69" s="23" t="n">
        <f aca="false">FH72</f>
        <v>0</v>
      </c>
      <c r="FJ69" s="23" t="n">
        <f aca="false">FI72</f>
        <v>0</v>
      </c>
      <c r="FK69" s="23" t="n">
        <f aca="false">FJ72</f>
        <v>0</v>
      </c>
    </row>
    <row r="70" customFormat="false" ht="15" hidden="false" customHeight="false" outlineLevel="0" collapsed="false">
      <c r="D70" s="21" t="s">
        <v>111</v>
      </c>
      <c r="E70" s="7" t="s">
        <v>28</v>
      </c>
      <c r="H70" s="23" t="n">
        <f aca="false">H68+H69</f>
        <v>0</v>
      </c>
      <c r="I70" s="23" t="n">
        <f aca="false">I68+I69</f>
        <v>0</v>
      </c>
      <c r="J70" s="23" t="n">
        <f aca="false">J68+J69</f>
        <v>0</v>
      </c>
      <c r="K70" s="23" t="n">
        <f aca="false">K68+K69</f>
        <v>0</v>
      </c>
      <c r="L70" s="23" t="n">
        <f aca="false">L68+L69</f>
        <v>5327500</v>
      </c>
      <c r="M70" s="23" t="n">
        <f aca="false">M68+M69</f>
        <v>5327500</v>
      </c>
      <c r="N70" s="23" t="n">
        <f aca="false">N68+N69</f>
        <v>5327500</v>
      </c>
      <c r="O70" s="23" t="n">
        <f aca="false">O68+O69</f>
        <v>5327500</v>
      </c>
      <c r="P70" s="23" t="n">
        <f aca="false">P68+P69</f>
        <v>5327500</v>
      </c>
      <c r="Q70" s="23" t="n">
        <f aca="false">Q68+Q69</f>
        <v>5327500</v>
      </c>
      <c r="R70" s="23" t="n">
        <f aca="false">R68+R69</f>
        <v>5327500</v>
      </c>
      <c r="S70" s="23" t="n">
        <f aca="false">S68+S69</f>
        <v>5327500</v>
      </c>
      <c r="T70" s="23" t="n">
        <f aca="false">T68+T69</f>
        <v>5327500</v>
      </c>
      <c r="U70" s="23" t="n">
        <f aca="false">U68+U69</f>
        <v>5327500</v>
      </c>
      <c r="V70" s="23" t="n">
        <f aca="false">V68+V69</f>
        <v>5327500</v>
      </c>
      <c r="W70" s="23" t="n">
        <f aca="false">W68+W69</f>
        <v>5327500</v>
      </c>
      <c r="X70" s="23" t="n">
        <f aca="false">X68+X69</f>
        <v>5327500</v>
      </c>
      <c r="Y70" s="23" t="n">
        <f aca="false">Y68+Y69</f>
        <v>5327500</v>
      </c>
      <c r="Z70" s="23" t="n">
        <f aca="false">Z68+Z69</f>
        <v>5327500</v>
      </c>
      <c r="AA70" s="23" t="n">
        <f aca="false">AA68+AA69</f>
        <v>5327500</v>
      </c>
      <c r="AB70" s="23" t="n">
        <f aca="false">AB68+AB69</f>
        <v>5327500</v>
      </c>
      <c r="AC70" s="23" t="n">
        <f aca="false">AC68+AC69</f>
        <v>5327500</v>
      </c>
      <c r="AD70" s="23" t="n">
        <f aca="false">AD68+AD69</f>
        <v>5327500</v>
      </c>
      <c r="AE70" s="23" t="n">
        <f aca="false">AE68+AE69</f>
        <v>5327500</v>
      </c>
      <c r="AF70" s="23" t="n">
        <f aca="false">AF68+AF69</f>
        <v>5327500</v>
      </c>
      <c r="AG70" s="23" t="n">
        <f aca="false">AG68+AG69</f>
        <v>5327500</v>
      </c>
      <c r="AH70" s="23" t="n">
        <f aca="false">AH68+AH69</f>
        <v>5327500</v>
      </c>
      <c r="AI70" s="23" t="n">
        <f aca="false">AI68+AI69</f>
        <v>5327500</v>
      </c>
      <c r="AJ70" s="23" t="n">
        <f aca="false">AJ68+AJ69</f>
        <v>5327500</v>
      </c>
      <c r="AK70" s="23" t="n">
        <f aca="false">AK68+AK69</f>
        <v>5327500</v>
      </c>
      <c r="AL70" s="23" t="n">
        <f aca="false">AL68+AL69</f>
        <v>5327500</v>
      </c>
      <c r="AM70" s="23" t="n">
        <f aca="false">AM68+AM69</f>
        <v>5327500</v>
      </c>
      <c r="AN70" s="23" t="n">
        <f aca="false">AN68+AN69</f>
        <v>5327500</v>
      </c>
      <c r="AO70" s="23" t="n">
        <f aca="false">AO68+AO69</f>
        <v>5327500</v>
      </c>
      <c r="AP70" s="23" t="n">
        <f aca="false">AP68+AP69</f>
        <v>5327500</v>
      </c>
      <c r="AQ70" s="23" t="n">
        <f aca="false">AQ68+AQ69</f>
        <v>5327500</v>
      </c>
      <c r="AR70" s="23" t="n">
        <f aca="false">AR68+AR69</f>
        <v>5327500</v>
      </c>
      <c r="AS70" s="23" t="n">
        <f aca="false">AS68+AS69</f>
        <v>5327500</v>
      </c>
      <c r="AT70" s="23" t="n">
        <f aca="false">AT68+AT69</f>
        <v>5327500</v>
      </c>
      <c r="AU70" s="23" t="n">
        <f aca="false">AU68+AU69</f>
        <v>5327500</v>
      </c>
      <c r="AV70" s="23" t="n">
        <f aca="false">AV68+AV69</f>
        <v>5327500</v>
      </c>
      <c r="AW70" s="23" t="n">
        <f aca="false">AW68+AW69</f>
        <v>5327500</v>
      </c>
      <c r="AX70" s="23" t="n">
        <f aca="false">AX68+AX69</f>
        <v>5327500</v>
      </c>
      <c r="AY70" s="23" t="n">
        <f aca="false">AY68+AY69</f>
        <v>5327500</v>
      </c>
      <c r="AZ70" s="23" t="n">
        <f aca="false">AZ68+AZ69</f>
        <v>5327500</v>
      </c>
      <c r="BA70" s="23" t="n">
        <f aca="false">BA68+BA69</f>
        <v>5327500</v>
      </c>
      <c r="BB70" s="23" t="n">
        <f aca="false">BB68+BB69</f>
        <v>5327500</v>
      </c>
      <c r="BC70" s="23" t="n">
        <f aca="false">BC68+BC69</f>
        <v>5327500</v>
      </c>
      <c r="BD70" s="23" t="n">
        <f aca="false">BD68+BD69</f>
        <v>5327500</v>
      </c>
      <c r="BE70" s="23" t="n">
        <f aca="false">BE68+BE69</f>
        <v>5327500</v>
      </c>
      <c r="BF70" s="23" t="n">
        <f aca="false">BF68+BF69</f>
        <v>5327500</v>
      </c>
      <c r="BG70" s="23" t="n">
        <f aca="false">BG68+BG69</f>
        <v>5327500</v>
      </c>
      <c r="BH70" s="23" t="n">
        <f aca="false">BH68+BH69</f>
        <v>5327500</v>
      </c>
      <c r="BI70" s="23" t="n">
        <f aca="false">BI68+BI69</f>
        <v>5327500</v>
      </c>
      <c r="BJ70" s="23" t="n">
        <f aca="false">BJ68+BJ69</f>
        <v>5327500</v>
      </c>
      <c r="BK70" s="23" t="n">
        <f aca="false">BK68+BK69</f>
        <v>5327500</v>
      </c>
      <c r="BL70" s="23" t="n">
        <f aca="false">BL68+BL69</f>
        <v>5327500</v>
      </c>
      <c r="BM70" s="23" t="n">
        <f aca="false">BM68+BM69</f>
        <v>5327500</v>
      </c>
      <c r="BN70" s="23" t="n">
        <f aca="false">BN68+BN69</f>
        <v>5327500</v>
      </c>
      <c r="BO70" s="23" t="n">
        <f aca="false">BO68+BO69</f>
        <v>5327500</v>
      </c>
      <c r="BP70" s="23" t="n">
        <f aca="false">BP68+BP69</f>
        <v>5327500</v>
      </c>
      <c r="BQ70" s="23" t="n">
        <f aca="false">BQ68+BQ69</f>
        <v>5327500</v>
      </c>
      <c r="BR70" s="23" t="n">
        <f aca="false">BR68+BR69</f>
        <v>5327500</v>
      </c>
      <c r="BS70" s="23" t="n">
        <f aca="false">BS68+BS69</f>
        <v>5327500</v>
      </c>
      <c r="BT70" s="23" t="n">
        <f aca="false">BT68+BT69</f>
        <v>5327500</v>
      </c>
      <c r="BU70" s="23" t="n">
        <f aca="false">BU68+BU69</f>
        <v>5327500</v>
      </c>
      <c r="BV70" s="23" t="n">
        <f aca="false">BV68+BV69</f>
        <v>5327500</v>
      </c>
      <c r="BW70" s="23" t="n">
        <f aca="false">BW68+BW69</f>
        <v>5327500</v>
      </c>
      <c r="BX70" s="23" t="n">
        <f aca="false">BX68+BX69</f>
        <v>5327500</v>
      </c>
      <c r="BY70" s="23" t="n">
        <f aca="false">BY68+BY69</f>
        <v>5327500</v>
      </c>
      <c r="BZ70" s="23" t="n">
        <f aca="false">BZ68+BZ69</f>
        <v>5327500</v>
      </c>
      <c r="CA70" s="23" t="n">
        <f aca="false">CA68+CA69</f>
        <v>5327500</v>
      </c>
      <c r="CB70" s="23" t="n">
        <f aca="false">CB68+CB69</f>
        <v>5327500</v>
      </c>
      <c r="CC70" s="23" t="n">
        <f aca="false">CC68+CC69</f>
        <v>5327500</v>
      </c>
      <c r="CD70" s="23" t="n">
        <f aca="false">CD68+CD69</f>
        <v>5327500</v>
      </c>
      <c r="CE70" s="23" t="n">
        <f aca="false">CE68+CE69</f>
        <v>5327500</v>
      </c>
      <c r="CF70" s="23" t="n">
        <f aca="false">CF68+CF69</f>
        <v>5327500</v>
      </c>
      <c r="CG70" s="23" t="n">
        <f aca="false">CG68+CG69</f>
        <v>5327500</v>
      </c>
      <c r="CH70" s="23" t="n">
        <f aca="false">CH68+CH69</f>
        <v>5327500</v>
      </c>
      <c r="CI70" s="23" t="n">
        <f aca="false">CI68+CI69</f>
        <v>5327500</v>
      </c>
      <c r="CJ70" s="23" t="n">
        <f aca="false">CJ68+CJ69</f>
        <v>5327500</v>
      </c>
      <c r="CK70" s="23" t="n">
        <f aca="false">CK68+CK69</f>
        <v>5327500</v>
      </c>
      <c r="CL70" s="23" t="n">
        <f aca="false">CL68+CL69</f>
        <v>5327500</v>
      </c>
      <c r="CM70" s="23" t="n">
        <f aca="false">CM68+CM69</f>
        <v>5327500</v>
      </c>
      <c r="CN70" s="23" t="n">
        <f aca="false">CN68+CN69</f>
        <v>5327500</v>
      </c>
      <c r="CO70" s="23" t="n">
        <f aca="false">CO68+CO69</f>
        <v>5327500</v>
      </c>
      <c r="CP70" s="23" t="n">
        <f aca="false">CP68+CP69</f>
        <v>5327500</v>
      </c>
      <c r="CQ70" s="23" t="n">
        <f aca="false">CQ68+CQ69</f>
        <v>5327500</v>
      </c>
      <c r="CR70" s="23" t="n">
        <f aca="false">CR68+CR69</f>
        <v>5327500</v>
      </c>
      <c r="CS70" s="23" t="n">
        <f aca="false">CS68+CS69</f>
        <v>5327500</v>
      </c>
      <c r="CT70" s="23" t="n">
        <f aca="false">CT68+CT69</f>
        <v>5327500</v>
      </c>
      <c r="CU70" s="23" t="n">
        <f aca="false">CU68+CU69</f>
        <v>5327500</v>
      </c>
      <c r="CV70" s="23" t="n">
        <f aca="false">CV68+CV69</f>
        <v>5327500</v>
      </c>
      <c r="CW70" s="23" t="n">
        <f aca="false">CW68+CW69</f>
        <v>5327500</v>
      </c>
      <c r="CX70" s="23" t="n">
        <f aca="false">CX68+CX69</f>
        <v>5327500</v>
      </c>
      <c r="CY70" s="23" t="n">
        <f aca="false">CY68+CY69</f>
        <v>5327500</v>
      </c>
      <c r="CZ70" s="23" t="n">
        <f aca="false">CZ68+CZ69</f>
        <v>5327500</v>
      </c>
      <c r="DA70" s="23" t="n">
        <f aca="false">DA68+DA69</f>
        <v>5327500</v>
      </c>
      <c r="DB70" s="23" t="n">
        <f aca="false">DB68+DB69</f>
        <v>5327500</v>
      </c>
      <c r="DC70" s="23" t="n">
        <f aca="false">DC68+DC69</f>
        <v>5327500</v>
      </c>
      <c r="DD70" s="23" t="n">
        <f aca="false">DD68+DD69</f>
        <v>5327500</v>
      </c>
      <c r="DE70" s="23" t="n">
        <f aca="false">DE68+DE69</f>
        <v>5327500</v>
      </c>
      <c r="DF70" s="23" t="n">
        <f aca="false">DF68+DF69</f>
        <v>5327500</v>
      </c>
      <c r="DG70" s="23" t="n">
        <f aca="false">DG68+DG69</f>
        <v>5327500</v>
      </c>
      <c r="DH70" s="23" t="n">
        <f aca="false">DH68+DH69</f>
        <v>9827500</v>
      </c>
      <c r="DI70" s="23" t="n">
        <f aca="false">DI68+DI69</f>
        <v>9827500</v>
      </c>
      <c r="DJ70" s="23" t="n">
        <f aca="false">DJ68+DJ69</f>
        <v>9827500</v>
      </c>
      <c r="DK70" s="23" t="n">
        <f aca="false">DK68+DK69</f>
        <v>9827500</v>
      </c>
      <c r="DL70" s="23" t="n">
        <f aca="false">DL68+DL69</f>
        <v>9827500</v>
      </c>
      <c r="DM70" s="23" t="n">
        <f aca="false">DM68+DM69</f>
        <v>9827500</v>
      </c>
      <c r="DN70" s="23" t="n">
        <f aca="false">DN68+DN69</f>
        <v>9827500</v>
      </c>
      <c r="DO70" s="23" t="n">
        <f aca="false">DO68+DO69</f>
        <v>9827500</v>
      </c>
      <c r="DP70" s="23" t="n">
        <f aca="false">DP68+DP69</f>
        <v>9827500</v>
      </c>
      <c r="DQ70" s="23" t="n">
        <f aca="false">DQ68+DQ69</f>
        <v>9827500</v>
      </c>
      <c r="DR70" s="23" t="n">
        <f aca="false">DR68+DR69</f>
        <v>9827500</v>
      </c>
      <c r="DS70" s="23" t="n">
        <f aca="false">DS68+DS69</f>
        <v>9827500</v>
      </c>
      <c r="DT70" s="23" t="n">
        <f aca="false">DT68+DT69</f>
        <v>9827500</v>
      </c>
      <c r="DU70" s="23" t="n">
        <f aca="false">DU68+DU69</f>
        <v>9827500</v>
      </c>
      <c r="DV70" s="23" t="n">
        <f aca="false">DV68+DV69</f>
        <v>9827500</v>
      </c>
      <c r="DW70" s="23" t="n">
        <f aca="false">DW68+DW69</f>
        <v>9827500</v>
      </c>
      <c r="DX70" s="23" t="n">
        <f aca="false">DX68+DX69</f>
        <v>9827500</v>
      </c>
      <c r="DY70" s="23" t="n">
        <f aca="false">DY68+DY69</f>
        <v>9827500</v>
      </c>
      <c r="DZ70" s="23" t="n">
        <f aca="false">DZ68+DZ69</f>
        <v>9827500</v>
      </c>
      <c r="EA70" s="23" t="n">
        <f aca="false">EA68+EA69</f>
        <v>9827500</v>
      </c>
      <c r="EB70" s="23" t="n">
        <f aca="false">EB68+EB69</f>
        <v>0</v>
      </c>
      <c r="EC70" s="23" t="n">
        <f aca="false">EC68+EC69</f>
        <v>0</v>
      </c>
      <c r="ED70" s="23" t="n">
        <f aca="false">ED68+ED69</f>
        <v>0</v>
      </c>
      <c r="EE70" s="23" t="n">
        <f aca="false">EE68+EE69</f>
        <v>0</v>
      </c>
      <c r="EF70" s="23" t="n">
        <f aca="false">EF68+EF69</f>
        <v>0</v>
      </c>
      <c r="EG70" s="23" t="n">
        <f aca="false">EG68+EG69</f>
        <v>0</v>
      </c>
      <c r="EH70" s="23" t="n">
        <f aca="false">EH68+EH69</f>
        <v>0</v>
      </c>
      <c r="EI70" s="23" t="n">
        <f aca="false">EI68+EI69</f>
        <v>0</v>
      </c>
      <c r="EJ70" s="23" t="n">
        <f aca="false">EJ68+EJ69</f>
        <v>0</v>
      </c>
      <c r="EK70" s="23" t="n">
        <f aca="false">EK68+EK69</f>
        <v>0</v>
      </c>
      <c r="EL70" s="23" t="n">
        <f aca="false">EL68+EL69</f>
        <v>0</v>
      </c>
      <c r="EM70" s="23" t="n">
        <f aca="false">EM68+EM69</f>
        <v>0</v>
      </c>
      <c r="EN70" s="23" t="n">
        <f aca="false">EN68+EN69</f>
        <v>0</v>
      </c>
      <c r="EO70" s="23" t="n">
        <f aca="false">EO68+EO69</f>
        <v>0</v>
      </c>
      <c r="EP70" s="23" t="n">
        <f aca="false">EP68+EP69</f>
        <v>0</v>
      </c>
      <c r="EQ70" s="23" t="n">
        <f aca="false">EQ68+EQ69</f>
        <v>0</v>
      </c>
      <c r="ER70" s="23" t="n">
        <f aca="false">ER68+ER69</f>
        <v>0</v>
      </c>
      <c r="ES70" s="23" t="n">
        <f aca="false">ES68+ES69</f>
        <v>0</v>
      </c>
      <c r="ET70" s="23" t="n">
        <f aca="false">ET68+ET69</f>
        <v>0</v>
      </c>
      <c r="EU70" s="23" t="n">
        <f aca="false">EU68+EU69</f>
        <v>0</v>
      </c>
      <c r="EV70" s="23" t="n">
        <f aca="false">EV68+EV69</f>
        <v>0</v>
      </c>
      <c r="EW70" s="23" t="n">
        <f aca="false">EW68+EW69</f>
        <v>0</v>
      </c>
      <c r="EX70" s="23" t="n">
        <f aca="false">EX68+EX69</f>
        <v>0</v>
      </c>
      <c r="EY70" s="23" t="n">
        <f aca="false">EY68+EY69</f>
        <v>0</v>
      </c>
      <c r="EZ70" s="23" t="n">
        <f aca="false">EZ68+EZ69</f>
        <v>0</v>
      </c>
      <c r="FA70" s="23" t="n">
        <f aca="false">FA68+FA69</f>
        <v>0</v>
      </c>
      <c r="FB70" s="23" t="n">
        <f aca="false">FB68+FB69</f>
        <v>0</v>
      </c>
      <c r="FC70" s="23" t="n">
        <f aca="false">FC68+FC69</f>
        <v>0</v>
      </c>
      <c r="FD70" s="23" t="n">
        <f aca="false">FD68+FD69</f>
        <v>0</v>
      </c>
      <c r="FE70" s="23" t="n">
        <f aca="false">FE68+FE69</f>
        <v>0</v>
      </c>
      <c r="FF70" s="23" t="n">
        <f aca="false">FF68+FF69</f>
        <v>0</v>
      </c>
      <c r="FG70" s="23" t="n">
        <f aca="false">FG68+FG69</f>
        <v>0</v>
      </c>
      <c r="FH70" s="23" t="n">
        <f aca="false">FH68+FH69</f>
        <v>0</v>
      </c>
      <c r="FI70" s="23" t="n">
        <f aca="false">FI68+FI69</f>
        <v>0</v>
      </c>
      <c r="FJ70" s="23" t="n">
        <f aca="false">FJ68+FJ69</f>
        <v>0</v>
      </c>
      <c r="FK70" s="23" t="n">
        <f aca="false">FK68+FK69</f>
        <v>0</v>
      </c>
    </row>
    <row r="71" customFormat="false" ht="15" hidden="false" customHeight="true" outlineLevel="0" collapsed="false">
      <c r="D71" s="21" t="s">
        <v>112</v>
      </c>
      <c r="E71" s="7" t="s">
        <v>28</v>
      </c>
      <c r="F71" s="22" t="n">
        <f aca="false">SUM(H71:FK71)</f>
        <v>182325000</v>
      </c>
      <c r="H71" s="23" t="n">
        <f aca="false">MAX(0,H70*TaxRate)</f>
        <v>0</v>
      </c>
      <c r="I71" s="23" t="n">
        <f aca="false">MAX(0,I70*TaxRate)</f>
        <v>0</v>
      </c>
      <c r="J71" s="23" t="n">
        <f aca="false">MAX(0,J70*TaxRate)</f>
        <v>0</v>
      </c>
      <c r="K71" s="23" t="n">
        <f aca="false">MAX(0,K70*TaxRate)</f>
        <v>0</v>
      </c>
      <c r="L71" s="23" t="n">
        <f aca="false">MAX(0,L70*TaxRate)</f>
        <v>1331875</v>
      </c>
      <c r="M71" s="23" t="n">
        <f aca="false">MAX(0,M70*TaxRate)</f>
        <v>1331875</v>
      </c>
      <c r="N71" s="23" t="n">
        <f aca="false">MAX(0,N70*TaxRate)</f>
        <v>1331875</v>
      </c>
      <c r="O71" s="23" t="n">
        <f aca="false">MAX(0,O70*TaxRate)</f>
        <v>1331875</v>
      </c>
      <c r="P71" s="23" t="n">
        <f aca="false">MAX(0,P70*TaxRate)</f>
        <v>1331875</v>
      </c>
      <c r="Q71" s="23" t="n">
        <f aca="false">MAX(0,Q70*TaxRate)</f>
        <v>1331875</v>
      </c>
      <c r="R71" s="23" t="n">
        <f aca="false">MAX(0,R70*TaxRate)</f>
        <v>1331875</v>
      </c>
      <c r="S71" s="23" t="n">
        <f aca="false">MAX(0,S70*TaxRate)</f>
        <v>1331875</v>
      </c>
      <c r="T71" s="23" t="n">
        <f aca="false">MAX(0,T70*TaxRate)</f>
        <v>1331875</v>
      </c>
      <c r="U71" s="23" t="n">
        <f aca="false">MAX(0,U70*TaxRate)</f>
        <v>1331875</v>
      </c>
      <c r="V71" s="23" t="n">
        <f aca="false">MAX(0,V70*TaxRate)</f>
        <v>1331875</v>
      </c>
      <c r="W71" s="23" t="n">
        <f aca="false">MAX(0,W70*TaxRate)</f>
        <v>1331875</v>
      </c>
      <c r="X71" s="23" t="n">
        <f aca="false">MAX(0,X70*TaxRate)</f>
        <v>1331875</v>
      </c>
      <c r="Y71" s="23" t="n">
        <f aca="false">MAX(0,Y70*TaxRate)</f>
        <v>1331875</v>
      </c>
      <c r="Z71" s="23" t="n">
        <f aca="false">MAX(0,Z70*TaxRate)</f>
        <v>1331875</v>
      </c>
      <c r="AA71" s="23" t="n">
        <f aca="false">MAX(0,AA70*TaxRate)</f>
        <v>1331875</v>
      </c>
      <c r="AB71" s="23" t="n">
        <f aca="false">MAX(0,AB70*TaxRate)</f>
        <v>1331875</v>
      </c>
      <c r="AC71" s="23" t="n">
        <f aca="false">MAX(0,AC70*TaxRate)</f>
        <v>1331875</v>
      </c>
      <c r="AD71" s="23" t="n">
        <f aca="false">MAX(0,AD70*TaxRate)</f>
        <v>1331875</v>
      </c>
      <c r="AE71" s="23" t="n">
        <f aca="false">MAX(0,AE70*TaxRate)</f>
        <v>1331875</v>
      </c>
      <c r="AF71" s="23" t="n">
        <f aca="false">MAX(0,AF70*TaxRate)</f>
        <v>1331875</v>
      </c>
      <c r="AG71" s="23" t="n">
        <f aca="false">MAX(0,AG70*TaxRate)</f>
        <v>1331875</v>
      </c>
      <c r="AH71" s="23" t="n">
        <f aca="false">MAX(0,AH70*TaxRate)</f>
        <v>1331875</v>
      </c>
      <c r="AI71" s="23" t="n">
        <f aca="false">MAX(0,AI70*TaxRate)</f>
        <v>1331875</v>
      </c>
      <c r="AJ71" s="23" t="n">
        <f aca="false">MAX(0,AJ70*TaxRate)</f>
        <v>1331875</v>
      </c>
      <c r="AK71" s="23" t="n">
        <f aca="false">MAX(0,AK70*TaxRate)</f>
        <v>1331875</v>
      </c>
      <c r="AL71" s="23" t="n">
        <f aca="false">MAX(0,AL70*TaxRate)</f>
        <v>1331875</v>
      </c>
      <c r="AM71" s="23" t="n">
        <f aca="false">MAX(0,AM70*TaxRate)</f>
        <v>1331875</v>
      </c>
      <c r="AN71" s="23" t="n">
        <f aca="false">MAX(0,AN70*TaxRate)</f>
        <v>1331875</v>
      </c>
      <c r="AO71" s="23" t="n">
        <f aca="false">MAX(0,AO70*TaxRate)</f>
        <v>1331875</v>
      </c>
      <c r="AP71" s="23" t="n">
        <f aca="false">MAX(0,AP70*TaxRate)</f>
        <v>1331875</v>
      </c>
      <c r="AQ71" s="23" t="n">
        <f aca="false">MAX(0,AQ70*TaxRate)</f>
        <v>1331875</v>
      </c>
      <c r="AR71" s="23" t="n">
        <f aca="false">MAX(0,AR70*TaxRate)</f>
        <v>1331875</v>
      </c>
      <c r="AS71" s="23" t="n">
        <f aca="false">MAX(0,AS70*TaxRate)</f>
        <v>1331875</v>
      </c>
      <c r="AT71" s="23" t="n">
        <f aca="false">MAX(0,AT70*TaxRate)</f>
        <v>1331875</v>
      </c>
      <c r="AU71" s="23" t="n">
        <f aca="false">MAX(0,AU70*TaxRate)</f>
        <v>1331875</v>
      </c>
      <c r="AV71" s="23" t="n">
        <f aca="false">MAX(0,AV70*TaxRate)</f>
        <v>1331875</v>
      </c>
      <c r="AW71" s="23" t="n">
        <f aca="false">MAX(0,AW70*TaxRate)</f>
        <v>1331875</v>
      </c>
      <c r="AX71" s="23" t="n">
        <f aca="false">MAX(0,AX70*TaxRate)</f>
        <v>1331875</v>
      </c>
      <c r="AY71" s="23" t="n">
        <f aca="false">MAX(0,AY70*TaxRate)</f>
        <v>1331875</v>
      </c>
      <c r="AZ71" s="23" t="n">
        <f aca="false">MAX(0,AZ70*TaxRate)</f>
        <v>1331875</v>
      </c>
      <c r="BA71" s="23" t="n">
        <f aca="false">MAX(0,BA70*TaxRate)</f>
        <v>1331875</v>
      </c>
      <c r="BB71" s="23" t="n">
        <f aca="false">MAX(0,BB70*TaxRate)</f>
        <v>1331875</v>
      </c>
      <c r="BC71" s="23" t="n">
        <f aca="false">MAX(0,BC70*TaxRate)</f>
        <v>1331875</v>
      </c>
      <c r="BD71" s="23" t="n">
        <f aca="false">MAX(0,BD70*TaxRate)</f>
        <v>1331875</v>
      </c>
      <c r="BE71" s="23" t="n">
        <f aca="false">MAX(0,BE70*TaxRate)</f>
        <v>1331875</v>
      </c>
      <c r="BF71" s="23" t="n">
        <f aca="false">MAX(0,BF70*TaxRate)</f>
        <v>1331875</v>
      </c>
      <c r="BG71" s="23" t="n">
        <f aca="false">MAX(0,BG70*TaxRate)</f>
        <v>1331875</v>
      </c>
      <c r="BH71" s="23" t="n">
        <f aca="false">MAX(0,BH70*TaxRate)</f>
        <v>1331875</v>
      </c>
      <c r="BI71" s="23" t="n">
        <f aca="false">MAX(0,BI70*TaxRate)</f>
        <v>1331875</v>
      </c>
      <c r="BJ71" s="23" t="n">
        <f aca="false">MAX(0,BJ70*TaxRate)</f>
        <v>1331875</v>
      </c>
      <c r="BK71" s="23" t="n">
        <f aca="false">MAX(0,BK70*TaxRate)</f>
        <v>1331875</v>
      </c>
      <c r="BL71" s="23" t="n">
        <f aca="false">MAX(0,BL70*TaxRate)</f>
        <v>1331875</v>
      </c>
      <c r="BM71" s="23" t="n">
        <f aca="false">MAX(0,BM70*TaxRate)</f>
        <v>1331875</v>
      </c>
      <c r="BN71" s="23" t="n">
        <f aca="false">MAX(0,BN70*TaxRate)</f>
        <v>1331875</v>
      </c>
      <c r="BO71" s="23" t="n">
        <f aca="false">MAX(0,BO70*TaxRate)</f>
        <v>1331875</v>
      </c>
      <c r="BP71" s="23" t="n">
        <f aca="false">MAX(0,BP70*TaxRate)</f>
        <v>1331875</v>
      </c>
      <c r="BQ71" s="23" t="n">
        <f aca="false">MAX(0,BQ70*TaxRate)</f>
        <v>1331875</v>
      </c>
      <c r="BR71" s="23" t="n">
        <f aca="false">MAX(0,BR70*TaxRate)</f>
        <v>1331875</v>
      </c>
      <c r="BS71" s="23" t="n">
        <f aca="false">MAX(0,BS70*TaxRate)</f>
        <v>1331875</v>
      </c>
      <c r="BT71" s="23" t="n">
        <f aca="false">MAX(0,BT70*TaxRate)</f>
        <v>1331875</v>
      </c>
      <c r="BU71" s="23" t="n">
        <f aca="false">MAX(0,BU70*TaxRate)</f>
        <v>1331875</v>
      </c>
      <c r="BV71" s="23" t="n">
        <f aca="false">MAX(0,BV70*TaxRate)</f>
        <v>1331875</v>
      </c>
      <c r="BW71" s="23" t="n">
        <f aca="false">MAX(0,BW70*TaxRate)</f>
        <v>1331875</v>
      </c>
      <c r="BX71" s="23" t="n">
        <f aca="false">MAX(0,BX70*TaxRate)</f>
        <v>1331875</v>
      </c>
      <c r="BY71" s="23" t="n">
        <f aca="false">MAX(0,BY70*TaxRate)</f>
        <v>1331875</v>
      </c>
      <c r="BZ71" s="23" t="n">
        <f aca="false">MAX(0,BZ70*TaxRate)</f>
        <v>1331875</v>
      </c>
      <c r="CA71" s="23" t="n">
        <f aca="false">MAX(0,CA70*TaxRate)</f>
        <v>1331875</v>
      </c>
      <c r="CB71" s="23" t="n">
        <f aca="false">MAX(0,CB70*TaxRate)</f>
        <v>1331875</v>
      </c>
      <c r="CC71" s="23" t="n">
        <f aca="false">MAX(0,CC70*TaxRate)</f>
        <v>1331875</v>
      </c>
      <c r="CD71" s="23" t="n">
        <f aca="false">MAX(0,CD70*TaxRate)</f>
        <v>1331875</v>
      </c>
      <c r="CE71" s="23" t="n">
        <f aca="false">MAX(0,CE70*TaxRate)</f>
        <v>1331875</v>
      </c>
      <c r="CF71" s="23" t="n">
        <f aca="false">MAX(0,CF70*TaxRate)</f>
        <v>1331875</v>
      </c>
      <c r="CG71" s="23" t="n">
        <f aca="false">MAX(0,CG70*TaxRate)</f>
        <v>1331875</v>
      </c>
      <c r="CH71" s="23" t="n">
        <f aca="false">MAX(0,CH70*TaxRate)</f>
        <v>1331875</v>
      </c>
      <c r="CI71" s="23" t="n">
        <f aca="false">MAX(0,CI70*TaxRate)</f>
        <v>1331875</v>
      </c>
      <c r="CJ71" s="23" t="n">
        <f aca="false">MAX(0,CJ70*TaxRate)</f>
        <v>1331875</v>
      </c>
      <c r="CK71" s="23" t="n">
        <f aca="false">MAX(0,CK70*TaxRate)</f>
        <v>1331875</v>
      </c>
      <c r="CL71" s="23" t="n">
        <f aca="false">MAX(0,CL70*TaxRate)</f>
        <v>1331875</v>
      </c>
      <c r="CM71" s="23" t="n">
        <f aca="false">MAX(0,CM70*TaxRate)</f>
        <v>1331875</v>
      </c>
      <c r="CN71" s="23" t="n">
        <f aca="false">MAX(0,CN70*TaxRate)</f>
        <v>1331875</v>
      </c>
      <c r="CO71" s="23" t="n">
        <f aca="false">MAX(0,CO70*TaxRate)</f>
        <v>1331875</v>
      </c>
      <c r="CP71" s="23" t="n">
        <f aca="false">MAX(0,CP70*TaxRate)</f>
        <v>1331875</v>
      </c>
      <c r="CQ71" s="23" t="n">
        <f aca="false">MAX(0,CQ70*TaxRate)</f>
        <v>1331875</v>
      </c>
      <c r="CR71" s="23" t="n">
        <f aca="false">MAX(0,CR70*TaxRate)</f>
        <v>1331875</v>
      </c>
      <c r="CS71" s="23" t="n">
        <f aca="false">MAX(0,CS70*TaxRate)</f>
        <v>1331875</v>
      </c>
      <c r="CT71" s="23" t="n">
        <f aca="false">MAX(0,CT70*TaxRate)</f>
        <v>1331875</v>
      </c>
      <c r="CU71" s="23" t="n">
        <f aca="false">MAX(0,CU70*TaxRate)</f>
        <v>1331875</v>
      </c>
      <c r="CV71" s="23" t="n">
        <f aca="false">MAX(0,CV70*TaxRate)</f>
        <v>1331875</v>
      </c>
      <c r="CW71" s="23" t="n">
        <f aca="false">MAX(0,CW70*TaxRate)</f>
        <v>1331875</v>
      </c>
      <c r="CX71" s="23" t="n">
        <f aca="false">MAX(0,CX70*TaxRate)</f>
        <v>1331875</v>
      </c>
      <c r="CY71" s="23" t="n">
        <f aca="false">MAX(0,CY70*TaxRate)</f>
        <v>1331875</v>
      </c>
      <c r="CZ71" s="23" t="n">
        <f aca="false">MAX(0,CZ70*TaxRate)</f>
        <v>1331875</v>
      </c>
      <c r="DA71" s="23" t="n">
        <f aca="false">MAX(0,DA70*TaxRate)</f>
        <v>1331875</v>
      </c>
      <c r="DB71" s="23" t="n">
        <f aca="false">MAX(0,DB70*TaxRate)</f>
        <v>1331875</v>
      </c>
      <c r="DC71" s="23" t="n">
        <f aca="false">MAX(0,DC70*TaxRate)</f>
        <v>1331875</v>
      </c>
      <c r="DD71" s="23" t="n">
        <f aca="false">MAX(0,DD70*TaxRate)</f>
        <v>1331875</v>
      </c>
      <c r="DE71" s="23" t="n">
        <f aca="false">MAX(0,DE70*TaxRate)</f>
        <v>1331875</v>
      </c>
      <c r="DF71" s="23" t="n">
        <f aca="false">MAX(0,DF70*TaxRate)</f>
        <v>1331875</v>
      </c>
      <c r="DG71" s="23" t="n">
        <f aca="false">MAX(0,DG70*TaxRate)</f>
        <v>1331875</v>
      </c>
      <c r="DH71" s="23" t="n">
        <f aca="false">MAX(0,DH70*TaxRate)</f>
        <v>2456875</v>
      </c>
      <c r="DI71" s="23" t="n">
        <f aca="false">MAX(0,DI70*TaxRate)</f>
        <v>2456875</v>
      </c>
      <c r="DJ71" s="23" t="n">
        <f aca="false">MAX(0,DJ70*TaxRate)</f>
        <v>2456875</v>
      </c>
      <c r="DK71" s="23" t="n">
        <f aca="false">MAX(0,DK70*TaxRate)</f>
        <v>2456875</v>
      </c>
      <c r="DL71" s="23" t="n">
        <f aca="false">MAX(0,DL70*TaxRate)</f>
        <v>2456875</v>
      </c>
      <c r="DM71" s="23" t="n">
        <f aca="false">MAX(0,DM70*TaxRate)</f>
        <v>2456875</v>
      </c>
      <c r="DN71" s="23" t="n">
        <f aca="false">MAX(0,DN70*TaxRate)</f>
        <v>2456875</v>
      </c>
      <c r="DO71" s="23" t="n">
        <f aca="false">MAX(0,DO70*TaxRate)</f>
        <v>2456875</v>
      </c>
      <c r="DP71" s="23" t="n">
        <f aca="false">MAX(0,DP70*TaxRate)</f>
        <v>2456875</v>
      </c>
      <c r="DQ71" s="23" t="n">
        <f aca="false">MAX(0,DQ70*TaxRate)</f>
        <v>2456875</v>
      </c>
      <c r="DR71" s="23" t="n">
        <f aca="false">MAX(0,DR70*TaxRate)</f>
        <v>2456875</v>
      </c>
      <c r="DS71" s="23" t="n">
        <f aca="false">MAX(0,DS70*TaxRate)</f>
        <v>2456875</v>
      </c>
      <c r="DT71" s="23" t="n">
        <f aca="false">MAX(0,DT70*TaxRate)</f>
        <v>2456875</v>
      </c>
      <c r="DU71" s="23" t="n">
        <f aca="false">MAX(0,DU70*TaxRate)</f>
        <v>2456875</v>
      </c>
      <c r="DV71" s="23" t="n">
        <f aca="false">MAX(0,DV70*TaxRate)</f>
        <v>2456875</v>
      </c>
      <c r="DW71" s="23" t="n">
        <f aca="false">MAX(0,DW70*TaxRate)</f>
        <v>2456875</v>
      </c>
      <c r="DX71" s="23" t="n">
        <f aca="false">MAX(0,DX70*TaxRate)</f>
        <v>2456875</v>
      </c>
      <c r="DY71" s="23" t="n">
        <f aca="false">MAX(0,DY70*TaxRate)</f>
        <v>2456875</v>
      </c>
      <c r="DZ71" s="23" t="n">
        <f aca="false">MAX(0,DZ70*TaxRate)</f>
        <v>2456875</v>
      </c>
      <c r="EA71" s="23" t="n">
        <f aca="false">MAX(0,EA70*TaxRate)</f>
        <v>2456875</v>
      </c>
      <c r="EB71" s="23" t="n">
        <f aca="false">MAX(0,EB70*TaxRate)</f>
        <v>0</v>
      </c>
      <c r="EC71" s="23" t="n">
        <f aca="false">MAX(0,EC70*TaxRate)</f>
        <v>0</v>
      </c>
      <c r="ED71" s="23" t="n">
        <f aca="false">MAX(0,ED70*TaxRate)</f>
        <v>0</v>
      </c>
      <c r="EE71" s="23" t="n">
        <f aca="false">MAX(0,EE70*TaxRate)</f>
        <v>0</v>
      </c>
      <c r="EF71" s="23" t="n">
        <f aca="false">MAX(0,EF70*TaxRate)</f>
        <v>0</v>
      </c>
      <c r="EG71" s="23" t="n">
        <f aca="false">MAX(0,EG70*TaxRate)</f>
        <v>0</v>
      </c>
      <c r="EH71" s="23" t="n">
        <f aca="false">MAX(0,EH70*TaxRate)</f>
        <v>0</v>
      </c>
      <c r="EI71" s="23" t="n">
        <f aca="false">MAX(0,EI70*TaxRate)</f>
        <v>0</v>
      </c>
      <c r="EJ71" s="23" t="n">
        <f aca="false">MAX(0,EJ70*TaxRate)</f>
        <v>0</v>
      </c>
      <c r="EK71" s="23" t="n">
        <f aca="false">MAX(0,EK70*TaxRate)</f>
        <v>0</v>
      </c>
      <c r="EL71" s="23" t="n">
        <f aca="false">MAX(0,EL70*TaxRate)</f>
        <v>0</v>
      </c>
      <c r="EM71" s="23" t="n">
        <f aca="false">MAX(0,EM70*TaxRate)</f>
        <v>0</v>
      </c>
      <c r="EN71" s="23" t="n">
        <f aca="false">MAX(0,EN70*TaxRate)</f>
        <v>0</v>
      </c>
      <c r="EO71" s="23" t="n">
        <f aca="false">MAX(0,EO70*TaxRate)</f>
        <v>0</v>
      </c>
      <c r="EP71" s="23" t="n">
        <f aca="false">MAX(0,EP70*TaxRate)</f>
        <v>0</v>
      </c>
      <c r="EQ71" s="23" t="n">
        <f aca="false">MAX(0,EQ70*TaxRate)</f>
        <v>0</v>
      </c>
      <c r="ER71" s="23" t="n">
        <f aca="false">MAX(0,ER70*TaxRate)</f>
        <v>0</v>
      </c>
      <c r="ES71" s="23" t="n">
        <f aca="false">MAX(0,ES70*TaxRate)</f>
        <v>0</v>
      </c>
      <c r="ET71" s="23" t="n">
        <f aca="false">MAX(0,ET70*TaxRate)</f>
        <v>0</v>
      </c>
      <c r="EU71" s="23" t="n">
        <f aca="false">MAX(0,EU70*TaxRate)</f>
        <v>0</v>
      </c>
      <c r="EV71" s="23" t="n">
        <f aca="false">MAX(0,EV70*TaxRate)</f>
        <v>0</v>
      </c>
      <c r="EW71" s="23" t="n">
        <f aca="false">MAX(0,EW70*TaxRate)</f>
        <v>0</v>
      </c>
      <c r="EX71" s="23" t="n">
        <f aca="false">MAX(0,EX70*TaxRate)</f>
        <v>0</v>
      </c>
      <c r="EY71" s="23" t="n">
        <f aca="false">MAX(0,EY70*TaxRate)</f>
        <v>0</v>
      </c>
      <c r="EZ71" s="23" t="n">
        <f aca="false">MAX(0,EZ70*TaxRate)</f>
        <v>0</v>
      </c>
      <c r="FA71" s="23" t="n">
        <f aca="false">MAX(0,FA70*TaxRate)</f>
        <v>0</v>
      </c>
      <c r="FB71" s="23" t="n">
        <f aca="false">MAX(0,FB70*TaxRate)</f>
        <v>0</v>
      </c>
      <c r="FC71" s="23" t="n">
        <f aca="false">MAX(0,FC70*TaxRate)</f>
        <v>0</v>
      </c>
      <c r="FD71" s="23" t="n">
        <f aca="false">MAX(0,FD70*TaxRate)</f>
        <v>0</v>
      </c>
      <c r="FE71" s="23" t="n">
        <f aca="false">MAX(0,FE70*TaxRate)</f>
        <v>0</v>
      </c>
      <c r="FF71" s="23" t="n">
        <f aca="false">MAX(0,FF70*TaxRate)</f>
        <v>0</v>
      </c>
      <c r="FG71" s="23" t="n">
        <f aca="false">MAX(0,FG70*TaxRate)</f>
        <v>0</v>
      </c>
      <c r="FH71" s="23" t="n">
        <f aca="false">MAX(0,FH70*TaxRate)</f>
        <v>0</v>
      </c>
      <c r="FI71" s="23" t="n">
        <f aca="false">MAX(0,FI70*TaxRate)</f>
        <v>0</v>
      </c>
      <c r="FJ71" s="23" t="n">
        <f aca="false">MAX(0,FJ70*TaxRate)</f>
        <v>0</v>
      </c>
      <c r="FK71" s="23" t="n">
        <f aca="false">MAX(0,FK70*TaxRate)</f>
        <v>0</v>
      </c>
    </row>
    <row r="72" customFormat="false" ht="15" hidden="false" customHeight="true" outlineLevel="0" collapsed="false">
      <c r="D72" s="21" t="s">
        <v>113</v>
      </c>
      <c r="E72" s="7" t="s">
        <v>28</v>
      </c>
      <c r="F72" s="22"/>
      <c r="H72" s="23" t="n">
        <f aca="false">MIN(0,H70)</f>
        <v>0</v>
      </c>
      <c r="I72" s="23" t="n">
        <f aca="false">MIN(0,I70)</f>
        <v>0</v>
      </c>
      <c r="J72" s="23" t="n">
        <f aca="false">MIN(0,J70)</f>
        <v>0</v>
      </c>
      <c r="K72" s="23" t="n">
        <f aca="false">MIN(0,K70)</f>
        <v>0</v>
      </c>
      <c r="L72" s="23" t="n">
        <f aca="false">MIN(0,L70)</f>
        <v>0</v>
      </c>
      <c r="M72" s="23" t="n">
        <f aca="false">MIN(0,M70)</f>
        <v>0</v>
      </c>
      <c r="N72" s="23" t="n">
        <f aca="false">MIN(0,N70)</f>
        <v>0</v>
      </c>
      <c r="O72" s="23" t="n">
        <f aca="false">MIN(0,O70)</f>
        <v>0</v>
      </c>
      <c r="P72" s="23" t="n">
        <f aca="false">MIN(0,P70)</f>
        <v>0</v>
      </c>
      <c r="Q72" s="23" t="n">
        <f aca="false">MIN(0,Q70)</f>
        <v>0</v>
      </c>
      <c r="R72" s="23" t="n">
        <f aca="false">MIN(0,R70)</f>
        <v>0</v>
      </c>
      <c r="S72" s="23" t="n">
        <f aca="false">MIN(0,S70)</f>
        <v>0</v>
      </c>
      <c r="T72" s="23" t="n">
        <f aca="false">MIN(0,T70)</f>
        <v>0</v>
      </c>
      <c r="U72" s="23" t="n">
        <f aca="false">MIN(0,U70)</f>
        <v>0</v>
      </c>
      <c r="V72" s="23" t="n">
        <f aca="false">MIN(0,V70)</f>
        <v>0</v>
      </c>
      <c r="W72" s="23" t="n">
        <f aca="false">MIN(0,W70)</f>
        <v>0</v>
      </c>
      <c r="X72" s="23" t="n">
        <f aca="false">MIN(0,X70)</f>
        <v>0</v>
      </c>
      <c r="Y72" s="23" t="n">
        <f aca="false">MIN(0,Y70)</f>
        <v>0</v>
      </c>
      <c r="Z72" s="23" t="n">
        <f aca="false">MIN(0,Z70)</f>
        <v>0</v>
      </c>
      <c r="AA72" s="23" t="n">
        <f aca="false">MIN(0,AA70)</f>
        <v>0</v>
      </c>
      <c r="AB72" s="23" t="n">
        <f aca="false">MIN(0,AB70)</f>
        <v>0</v>
      </c>
      <c r="AC72" s="23" t="n">
        <f aca="false">MIN(0,AC70)</f>
        <v>0</v>
      </c>
      <c r="AD72" s="23" t="n">
        <f aca="false">MIN(0,AD70)</f>
        <v>0</v>
      </c>
      <c r="AE72" s="23" t="n">
        <f aca="false">MIN(0,AE70)</f>
        <v>0</v>
      </c>
      <c r="AF72" s="23" t="n">
        <f aca="false">MIN(0,AF70)</f>
        <v>0</v>
      </c>
      <c r="AG72" s="23" t="n">
        <f aca="false">MIN(0,AG70)</f>
        <v>0</v>
      </c>
      <c r="AH72" s="23" t="n">
        <f aca="false">MIN(0,AH70)</f>
        <v>0</v>
      </c>
      <c r="AI72" s="23" t="n">
        <f aca="false">MIN(0,AI70)</f>
        <v>0</v>
      </c>
      <c r="AJ72" s="23" t="n">
        <f aca="false">MIN(0,AJ70)</f>
        <v>0</v>
      </c>
      <c r="AK72" s="23" t="n">
        <f aca="false">MIN(0,AK70)</f>
        <v>0</v>
      </c>
      <c r="AL72" s="23" t="n">
        <f aca="false">MIN(0,AL70)</f>
        <v>0</v>
      </c>
      <c r="AM72" s="23" t="n">
        <f aca="false">MIN(0,AM70)</f>
        <v>0</v>
      </c>
      <c r="AN72" s="23" t="n">
        <f aca="false">MIN(0,AN70)</f>
        <v>0</v>
      </c>
      <c r="AO72" s="23" t="n">
        <f aca="false">MIN(0,AO70)</f>
        <v>0</v>
      </c>
      <c r="AP72" s="23" t="n">
        <f aca="false">MIN(0,AP70)</f>
        <v>0</v>
      </c>
      <c r="AQ72" s="23" t="n">
        <f aca="false">MIN(0,AQ70)</f>
        <v>0</v>
      </c>
      <c r="AR72" s="23" t="n">
        <f aca="false">MIN(0,AR70)</f>
        <v>0</v>
      </c>
      <c r="AS72" s="23" t="n">
        <f aca="false">MIN(0,AS70)</f>
        <v>0</v>
      </c>
      <c r="AT72" s="23" t="n">
        <f aca="false">MIN(0,AT70)</f>
        <v>0</v>
      </c>
      <c r="AU72" s="23" t="n">
        <f aca="false">MIN(0,AU70)</f>
        <v>0</v>
      </c>
      <c r="AV72" s="23" t="n">
        <f aca="false">MIN(0,AV70)</f>
        <v>0</v>
      </c>
      <c r="AW72" s="23" t="n">
        <f aca="false">MIN(0,AW70)</f>
        <v>0</v>
      </c>
      <c r="AX72" s="23" t="n">
        <f aca="false">MIN(0,AX70)</f>
        <v>0</v>
      </c>
      <c r="AY72" s="23" t="n">
        <f aca="false">MIN(0,AY70)</f>
        <v>0</v>
      </c>
      <c r="AZ72" s="23" t="n">
        <f aca="false">MIN(0,AZ70)</f>
        <v>0</v>
      </c>
      <c r="BA72" s="23" t="n">
        <f aca="false">MIN(0,BA70)</f>
        <v>0</v>
      </c>
      <c r="BB72" s="23" t="n">
        <f aca="false">MIN(0,BB70)</f>
        <v>0</v>
      </c>
      <c r="BC72" s="23" t="n">
        <f aca="false">MIN(0,BC70)</f>
        <v>0</v>
      </c>
      <c r="BD72" s="23" t="n">
        <f aca="false">MIN(0,BD70)</f>
        <v>0</v>
      </c>
      <c r="BE72" s="23" t="n">
        <f aca="false">MIN(0,BE70)</f>
        <v>0</v>
      </c>
      <c r="BF72" s="23" t="n">
        <f aca="false">MIN(0,BF70)</f>
        <v>0</v>
      </c>
      <c r="BG72" s="23" t="n">
        <f aca="false">MIN(0,BG70)</f>
        <v>0</v>
      </c>
      <c r="BH72" s="23" t="n">
        <f aca="false">MIN(0,BH70)</f>
        <v>0</v>
      </c>
      <c r="BI72" s="23" t="n">
        <f aca="false">MIN(0,BI70)</f>
        <v>0</v>
      </c>
      <c r="BJ72" s="23" t="n">
        <f aca="false">MIN(0,BJ70)</f>
        <v>0</v>
      </c>
      <c r="BK72" s="23" t="n">
        <f aca="false">MIN(0,BK70)</f>
        <v>0</v>
      </c>
      <c r="BL72" s="23" t="n">
        <f aca="false">MIN(0,BL70)</f>
        <v>0</v>
      </c>
      <c r="BM72" s="23" t="n">
        <f aca="false">MIN(0,BM70)</f>
        <v>0</v>
      </c>
      <c r="BN72" s="23" t="n">
        <f aca="false">MIN(0,BN70)</f>
        <v>0</v>
      </c>
      <c r="BO72" s="23" t="n">
        <f aca="false">MIN(0,BO70)</f>
        <v>0</v>
      </c>
      <c r="BP72" s="23" t="n">
        <f aca="false">MIN(0,BP70)</f>
        <v>0</v>
      </c>
      <c r="BQ72" s="23" t="n">
        <f aca="false">MIN(0,BQ70)</f>
        <v>0</v>
      </c>
      <c r="BR72" s="23" t="n">
        <f aca="false">MIN(0,BR70)</f>
        <v>0</v>
      </c>
      <c r="BS72" s="23" t="n">
        <f aca="false">MIN(0,BS70)</f>
        <v>0</v>
      </c>
      <c r="BT72" s="23" t="n">
        <f aca="false">MIN(0,BT70)</f>
        <v>0</v>
      </c>
      <c r="BU72" s="23" t="n">
        <f aca="false">MIN(0,BU70)</f>
        <v>0</v>
      </c>
      <c r="BV72" s="23" t="n">
        <f aca="false">MIN(0,BV70)</f>
        <v>0</v>
      </c>
      <c r="BW72" s="23" t="n">
        <f aca="false">MIN(0,BW70)</f>
        <v>0</v>
      </c>
      <c r="BX72" s="23" t="n">
        <f aca="false">MIN(0,BX70)</f>
        <v>0</v>
      </c>
      <c r="BY72" s="23" t="n">
        <f aca="false">MIN(0,BY70)</f>
        <v>0</v>
      </c>
      <c r="BZ72" s="23" t="n">
        <f aca="false">MIN(0,BZ70)</f>
        <v>0</v>
      </c>
      <c r="CA72" s="23" t="n">
        <f aca="false">MIN(0,CA70)</f>
        <v>0</v>
      </c>
      <c r="CB72" s="23" t="n">
        <f aca="false">MIN(0,CB70)</f>
        <v>0</v>
      </c>
      <c r="CC72" s="23" t="n">
        <f aca="false">MIN(0,CC70)</f>
        <v>0</v>
      </c>
      <c r="CD72" s="23" t="n">
        <f aca="false">MIN(0,CD70)</f>
        <v>0</v>
      </c>
      <c r="CE72" s="23" t="n">
        <f aca="false">MIN(0,CE70)</f>
        <v>0</v>
      </c>
      <c r="CF72" s="23" t="n">
        <f aca="false">MIN(0,CF70)</f>
        <v>0</v>
      </c>
      <c r="CG72" s="23" t="n">
        <f aca="false">MIN(0,CG70)</f>
        <v>0</v>
      </c>
      <c r="CH72" s="23" t="n">
        <f aca="false">MIN(0,CH70)</f>
        <v>0</v>
      </c>
      <c r="CI72" s="23" t="n">
        <f aca="false">MIN(0,CI70)</f>
        <v>0</v>
      </c>
      <c r="CJ72" s="23" t="n">
        <f aca="false">MIN(0,CJ70)</f>
        <v>0</v>
      </c>
      <c r="CK72" s="23" t="n">
        <f aca="false">MIN(0,CK70)</f>
        <v>0</v>
      </c>
      <c r="CL72" s="23" t="n">
        <f aca="false">MIN(0,CL70)</f>
        <v>0</v>
      </c>
      <c r="CM72" s="23" t="n">
        <f aca="false">MIN(0,CM70)</f>
        <v>0</v>
      </c>
      <c r="CN72" s="23" t="n">
        <f aca="false">MIN(0,CN70)</f>
        <v>0</v>
      </c>
      <c r="CO72" s="23" t="n">
        <f aca="false">MIN(0,CO70)</f>
        <v>0</v>
      </c>
      <c r="CP72" s="23" t="n">
        <f aca="false">MIN(0,CP70)</f>
        <v>0</v>
      </c>
      <c r="CQ72" s="23" t="n">
        <f aca="false">MIN(0,CQ70)</f>
        <v>0</v>
      </c>
      <c r="CR72" s="23" t="n">
        <f aca="false">MIN(0,CR70)</f>
        <v>0</v>
      </c>
      <c r="CS72" s="23" t="n">
        <f aca="false">MIN(0,CS70)</f>
        <v>0</v>
      </c>
      <c r="CT72" s="23" t="n">
        <f aca="false">MIN(0,CT70)</f>
        <v>0</v>
      </c>
      <c r="CU72" s="23" t="n">
        <f aca="false">MIN(0,CU70)</f>
        <v>0</v>
      </c>
      <c r="CV72" s="23" t="n">
        <f aca="false">MIN(0,CV70)</f>
        <v>0</v>
      </c>
      <c r="CW72" s="23" t="n">
        <f aca="false">MIN(0,CW70)</f>
        <v>0</v>
      </c>
      <c r="CX72" s="23" t="n">
        <f aca="false">MIN(0,CX70)</f>
        <v>0</v>
      </c>
      <c r="CY72" s="23" t="n">
        <f aca="false">MIN(0,CY70)</f>
        <v>0</v>
      </c>
      <c r="CZ72" s="23" t="n">
        <f aca="false">MIN(0,CZ70)</f>
        <v>0</v>
      </c>
      <c r="DA72" s="23" t="n">
        <f aca="false">MIN(0,DA70)</f>
        <v>0</v>
      </c>
      <c r="DB72" s="23" t="n">
        <f aca="false">MIN(0,DB70)</f>
        <v>0</v>
      </c>
      <c r="DC72" s="23" t="n">
        <f aca="false">MIN(0,DC70)</f>
        <v>0</v>
      </c>
      <c r="DD72" s="23" t="n">
        <f aca="false">MIN(0,DD70)</f>
        <v>0</v>
      </c>
      <c r="DE72" s="23" t="n">
        <f aca="false">MIN(0,DE70)</f>
        <v>0</v>
      </c>
      <c r="DF72" s="23" t="n">
        <f aca="false">MIN(0,DF70)</f>
        <v>0</v>
      </c>
      <c r="DG72" s="23" t="n">
        <f aca="false">MIN(0,DG70)</f>
        <v>0</v>
      </c>
      <c r="DH72" s="23" t="n">
        <f aca="false">MIN(0,DH70)</f>
        <v>0</v>
      </c>
      <c r="DI72" s="23" t="n">
        <f aca="false">MIN(0,DI70)</f>
        <v>0</v>
      </c>
      <c r="DJ72" s="23" t="n">
        <f aca="false">MIN(0,DJ70)</f>
        <v>0</v>
      </c>
      <c r="DK72" s="23" t="n">
        <f aca="false">MIN(0,DK70)</f>
        <v>0</v>
      </c>
      <c r="DL72" s="23" t="n">
        <f aca="false">MIN(0,DL70)</f>
        <v>0</v>
      </c>
      <c r="DM72" s="23" t="n">
        <f aca="false">MIN(0,DM70)</f>
        <v>0</v>
      </c>
      <c r="DN72" s="23" t="n">
        <f aca="false">MIN(0,DN70)</f>
        <v>0</v>
      </c>
      <c r="DO72" s="23" t="n">
        <f aca="false">MIN(0,DO70)</f>
        <v>0</v>
      </c>
      <c r="DP72" s="23" t="n">
        <f aca="false">MIN(0,DP70)</f>
        <v>0</v>
      </c>
      <c r="DQ72" s="23" t="n">
        <f aca="false">MIN(0,DQ70)</f>
        <v>0</v>
      </c>
      <c r="DR72" s="23" t="n">
        <f aca="false">MIN(0,DR70)</f>
        <v>0</v>
      </c>
      <c r="DS72" s="23" t="n">
        <f aca="false">MIN(0,DS70)</f>
        <v>0</v>
      </c>
      <c r="DT72" s="23" t="n">
        <f aca="false">MIN(0,DT70)</f>
        <v>0</v>
      </c>
      <c r="DU72" s="23" t="n">
        <f aca="false">MIN(0,DU70)</f>
        <v>0</v>
      </c>
      <c r="DV72" s="23" t="n">
        <f aca="false">MIN(0,DV70)</f>
        <v>0</v>
      </c>
      <c r="DW72" s="23" t="n">
        <f aca="false">MIN(0,DW70)</f>
        <v>0</v>
      </c>
      <c r="DX72" s="23" t="n">
        <f aca="false">MIN(0,DX70)</f>
        <v>0</v>
      </c>
      <c r="DY72" s="23" t="n">
        <f aca="false">MIN(0,DY70)</f>
        <v>0</v>
      </c>
      <c r="DZ72" s="23" t="n">
        <f aca="false">MIN(0,DZ70)</f>
        <v>0</v>
      </c>
      <c r="EA72" s="23" t="n">
        <f aca="false">MIN(0,EA70)</f>
        <v>0</v>
      </c>
      <c r="EB72" s="23" t="n">
        <f aca="false">MIN(0,EB70)</f>
        <v>0</v>
      </c>
      <c r="EC72" s="23" t="n">
        <f aca="false">MIN(0,EC70)</f>
        <v>0</v>
      </c>
      <c r="ED72" s="23" t="n">
        <f aca="false">MIN(0,ED70)</f>
        <v>0</v>
      </c>
      <c r="EE72" s="23" t="n">
        <f aca="false">MIN(0,EE70)</f>
        <v>0</v>
      </c>
      <c r="EF72" s="23" t="n">
        <f aca="false">MIN(0,EF70)</f>
        <v>0</v>
      </c>
      <c r="EG72" s="23" t="n">
        <f aca="false">MIN(0,EG70)</f>
        <v>0</v>
      </c>
      <c r="EH72" s="23" t="n">
        <f aca="false">MIN(0,EH70)</f>
        <v>0</v>
      </c>
      <c r="EI72" s="23" t="n">
        <f aca="false">MIN(0,EI70)</f>
        <v>0</v>
      </c>
      <c r="EJ72" s="23" t="n">
        <f aca="false">MIN(0,EJ70)</f>
        <v>0</v>
      </c>
      <c r="EK72" s="23" t="n">
        <f aca="false">MIN(0,EK70)</f>
        <v>0</v>
      </c>
      <c r="EL72" s="23" t="n">
        <f aca="false">MIN(0,EL70)</f>
        <v>0</v>
      </c>
      <c r="EM72" s="23" t="n">
        <f aca="false">MIN(0,EM70)</f>
        <v>0</v>
      </c>
      <c r="EN72" s="23" t="n">
        <f aca="false">MIN(0,EN70)</f>
        <v>0</v>
      </c>
      <c r="EO72" s="23" t="n">
        <f aca="false">MIN(0,EO70)</f>
        <v>0</v>
      </c>
      <c r="EP72" s="23" t="n">
        <f aca="false">MIN(0,EP70)</f>
        <v>0</v>
      </c>
      <c r="EQ72" s="23" t="n">
        <f aca="false">MIN(0,EQ70)</f>
        <v>0</v>
      </c>
      <c r="ER72" s="23" t="n">
        <f aca="false">MIN(0,ER70)</f>
        <v>0</v>
      </c>
      <c r="ES72" s="23" t="n">
        <f aca="false">MIN(0,ES70)</f>
        <v>0</v>
      </c>
      <c r="ET72" s="23" t="n">
        <f aca="false">MIN(0,ET70)</f>
        <v>0</v>
      </c>
      <c r="EU72" s="23" t="n">
        <f aca="false">MIN(0,EU70)</f>
        <v>0</v>
      </c>
      <c r="EV72" s="23" t="n">
        <f aca="false">MIN(0,EV70)</f>
        <v>0</v>
      </c>
      <c r="EW72" s="23" t="n">
        <f aca="false">MIN(0,EW70)</f>
        <v>0</v>
      </c>
      <c r="EX72" s="23" t="n">
        <f aca="false">MIN(0,EX70)</f>
        <v>0</v>
      </c>
      <c r="EY72" s="23" t="n">
        <f aca="false">MIN(0,EY70)</f>
        <v>0</v>
      </c>
      <c r="EZ72" s="23" t="n">
        <f aca="false">MIN(0,EZ70)</f>
        <v>0</v>
      </c>
      <c r="FA72" s="23" t="n">
        <f aca="false">MIN(0,FA70)</f>
        <v>0</v>
      </c>
      <c r="FB72" s="23" t="n">
        <f aca="false">MIN(0,FB70)</f>
        <v>0</v>
      </c>
      <c r="FC72" s="23" t="n">
        <f aca="false">MIN(0,FC70)</f>
        <v>0</v>
      </c>
      <c r="FD72" s="23" t="n">
        <f aca="false">MIN(0,FD70)</f>
        <v>0</v>
      </c>
      <c r="FE72" s="23" t="n">
        <f aca="false">MIN(0,FE70)</f>
        <v>0</v>
      </c>
      <c r="FF72" s="23" t="n">
        <f aca="false">MIN(0,FF70)</f>
        <v>0</v>
      </c>
      <c r="FG72" s="23" t="n">
        <f aca="false">MIN(0,FG70)</f>
        <v>0</v>
      </c>
      <c r="FH72" s="23" t="n">
        <f aca="false">MIN(0,FH70)</f>
        <v>0</v>
      </c>
      <c r="FI72" s="23" t="n">
        <f aca="false">MIN(0,FI70)</f>
        <v>0</v>
      </c>
      <c r="FJ72" s="23" t="n">
        <f aca="false">MIN(0,FJ70)</f>
        <v>0</v>
      </c>
      <c r="FK72" s="23" t="n">
        <f aca="false">MIN(0,FK70)</f>
        <v>0</v>
      </c>
    </row>
    <row r="73" customFormat="false" ht="15" hidden="false" customHeight="true" outlineLevel="0" collapsed="false">
      <c r="D73" s="21"/>
      <c r="E73" s="7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</row>
    <row r="74" customFormat="false" ht="15" hidden="false" customHeight="true" outlineLevel="0" collapsed="false">
      <c r="D74" s="20" t="s">
        <v>114</v>
      </c>
      <c r="E74" s="7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</row>
    <row r="75" customFormat="false" ht="15" hidden="false" customHeight="true" outlineLevel="0" collapsed="false">
      <c r="D75" s="21" t="s">
        <v>109</v>
      </c>
      <c r="E75" s="7" t="s">
        <v>28</v>
      </c>
      <c r="F75" s="22"/>
      <c r="H75" s="23" t="n">
        <f aca="false">H35-H64+H57</f>
        <v>0</v>
      </c>
      <c r="I75" s="23" t="n">
        <f aca="false">I35-I64+I57</f>
        <v>-1518750</v>
      </c>
      <c r="J75" s="23" t="n">
        <f aca="false">J35-J64+J57</f>
        <v>-3037500</v>
      </c>
      <c r="K75" s="23" t="n">
        <f aca="false">K35-K64+K57</f>
        <v>-4556250</v>
      </c>
      <c r="L75" s="23" t="n">
        <f aca="false">L35-L64+L57</f>
        <v>-747500</v>
      </c>
      <c r="M75" s="23" t="n">
        <f aca="false">M35-M64+M57</f>
        <v>-646250</v>
      </c>
      <c r="N75" s="23" t="n">
        <f aca="false">N35-N64+N57</f>
        <v>-545000</v>
      </c>
      <c r="O75" s="23" t="n">
        <f aca="false">O35-O64+O57</f>
        <v>-443750</v>
      </c>
      <c r="P75" s="23" t="n">
        <f aca="false">P35-P64+P57</f>
        <v>-342500</v>
      </c>
      <c r="Q75" s="23" t="n">
        <f aca="false">Q35-Q64+Q57</f>
        <v>-241250</v>
      </c>
      <c r="R75" s="23" t="n">
        <f aca="false">R35-R64+R57</f>
        <v>-140000</v>
      </c>
      <c r="S75" s="23" t="n">
        <f aca="false">S35-S64+S57</f>
        <v>-38750</v>
      </c>
      <c r="T75" s="23" t="n">
        <f aca="false">T35-T64+T57</f>
        <v>62500</v>
      </c>
      <c r="U75" s="23" t="n">
        <f aca="false">U35-U64+U57</f>
        <v>163750</v>
      </c>
      <c r="V75" s="23" t="n">
        <f aca="false">V35-V64+V57</f>
        <v>265000</v>
      </c>
      <c r="W75" s="23" t="n">
        <f aca="false">W35-W64+W57</f>
        <v>366250</v>
      </c>
      <c r="X75" s="23" t="n">
        <f aca="false">X35-X64+X57</f>
        <v>467500</v>
      </c>
      <c r="Y75" s="23" t="n">
        <f aca="false">Y35-Y64+Y57</f>
        <v>568750</v>
      </c>
      <c r="Z75" s="23" t="n">
        <f aca="false">Z35-Z64+Z57</f>
        <v>670000</v>
      </c>
      <c r="AA75" s="23" t="n">
        <f aca="false">AA35-AA64+AA57</f>
        <v>771250</v>
      </c>
      <c r="AB75" s="23" t="n">
        <f aca="false">AB35-AB64+AB57</f>
        <v>872500</v>
      </c>
      <c r="AC75" s="23" t="n">
        <f aca="false">AC35-AC64+AC57</f>
        <v>973750</v>
      </c>
      <c r="AD75" s="23" t="n">
        <f aca="false">AD35-AD64+AD57</f>
        <v>1075000</v>
      </c>
      <c r="AE75" s="23" t="n">
        <f aca="false">AE35-AE64+AE57</f>
        <v>1176250</v>
      </c>
      <c r="AF75" s="23" t="n">
        <f aca="false">AF35-AF64+AF57</f>
        <v>1277500</v>
      </c>
      <c r="AG75" s="23" t="n">
        <f aca="false">AG35-AG64+AG57</f>
        <v>1378750</v>
      </c>
      <c r="AH75" s="23" t="n">
        <f aca="false">AH35-AH64+AH57</f>
        <v>1480000</v>
      </c>
      <c r="AI75" s="23" t="n">
        <f aca="false">AI35-AI64+AI57</f>
        <v>1581250</v>
      </c>
      <c r="AJ75" s="23" t="n">
        <f aca="false">AJ35-AJ64+AJ57</f>
        <v>1682500</v>
      </c>
      <c r="AK75" s="23" t="n">
        <f aca="false">AK35-AK64+AK57</f>
        <v>1783750</v>
      </c>
      <c r="AL75" s="23" t="n">
        <f aca="false">AL35-AL64+AL57</f>
        <v>1885000</v>
      </c>
      <c r="AM75" s="23" t="n">
        <f aca="false">AM35-AM64+AM57</f>
        <v>1986250</v>
      </c>
      <c r="AN75" s="23" t="n">
        <f aca="false">AN35-AN64+AN57</f>
        <v>2087500</v>
      </c>
      <c r="AO75" s="23" t="n">
        <f aca="false">AO35-AO64+AO57</f>
        <v>2188750</v>
      </c>
      <c r="AP75" s="23" t="n">
        <f aca="false">AP35-AP64+AP57</f>
        <v>2290000</v>
      </c>
      <c r="AQ75" s="23" t="n">
        <f aca="false">AQ35-AQ64+AQ57</f>
        <v>2391250</v>
      </c>
      <c r="AR75" s="23" t="n">
        <f aca="false">AR35-AR64+AR57</f>
        <v>2492500</v>
      </c>
      <c r="AS75" s="23" t="n">
        <f aca="false">AS35-AS64+AS57</f>
        <v>2593750</v>
      </c>
      <c r="AT75" s="23" t="n">
        <f aca="false">AT35-AT64+AT57</f>
        <v>2695000</v>
      </c>
      <c r="AU75" s="23" t="n">
        <f aca="false">AU35-AU64+AU57</f>
        <v>2796250</v>
      </c>
      <c r="AV75" s="23" t="n">
        <f aca="false">AV35-AV64+AV57</f>
        <v>2897500</v>
      </c>
      <c r="AW75" s="23" t="n">
        <f aca="false">AW35-AW64+AW57</f>
        <v>2998750</v>
      </c>
      <c r="AX75" s="23" t="n">
        <f aca="false">AX35-AX64+AX57</f>
        <v>3100000</v>
      </c>
      <c r="AY75" s="23" t="n">
        <f aca="false">AY35-AY64+AY57</f>
        <v>3201250</v>
      </c>
      <c r="AZ75" s="23" t="n">
        <f aca="false">AZ35-AZ64+AZ57</f>
        <v>3302500</v>
      </c>
      <c r="BA75" s="23" t="n">
        <f aca="false">BA35-BA64+BA57</f>
        <v>3403750</v>
      </c>
      <c r="BB75" s="23" t="n">
        <f aca="false">BB35-BB64+BB57</f>
        <v>3505000</v>
      </c>
      <c r="BC75" s="23" t="n">
        <f aca="false">BC35-BC64+BC57</f>
        <v>3606250</v>
      </c>
      <c r="BD75" s="23" t="n">
        <f aca="false">BD35-BD64+BD57</f>
        <v>3707500</v>
      </c>
      <c r="BE75" s="23" t="n">
        <f aca="false">BE35-BE64+BE57</f>
        <v>3808750</v>
      </c>
      <c r="BF75" s="23" t="n">
        <f aca="false">BF35-BF64+BF57</f>
        <v>3910000</v>
      </c>
      <c r="BG75" s="23" t="n">
        <f aca="false">BG35-BG64+BG57</f>
        <v>4011250</v>
      </c>
      <c r="BH75" s="23" t="n">
        <f aca="false">BH35-BH64+BH57</f>
        <v>4112500</v>
      </c>
      <c r="BI75" s="23" t="n">
        <f aca="false">BI35-BI64+BI57</f>
        <v>4213750</v>
      </c>
      <c r="BJ75" s="23" t="n">
        <f aca="false">BJ35-BJ64+BJ57</f>
        <v>4315000</v>
      </c>
      <c r="BK75" s="23" t="n">
        <f aca="false">BK35-BK64+BK57</f>
        <v>4416250</v>
      </c>
      <c r="BL75" s="23" t="n">
        <f aca="false">BL35-BL64+BL57</f>
        <v>4517500</v>
      </c>
      <c r="BM75" s="23" t="n">
        <f aca="false">BM35-BM64+BM57</f>
        <v>4618750</v>
      </c>
      <c r="BN75" s="23" t="n">
        <f aca="false">BN35-BN64+BN57</f>
        <v>4720000</v>
      </c>
      <c r="BO75" s="23" t="n">
        <f aca="false">BO35-BO64+BO57</f>
        <v>4821250</v>
      </c>
      <c r="BP75" s="23" t="n">
        <f aca="false">BP35-BP64+BP57</f>
        <v>4922500</v>
      </c>
      <c r="BQ75" s="23" t="n">
        <f aca="false">BQ35-BQ64+BQ57</f>
        <v>5023750</v>
      </c>
      <c r="BR75" s="23" t="n">
        <f aca="false">BR35-BR64+BR57</f>
        <v>5125000</v>
      </c>
      <c r="BS75" s="23" t="n">
        <f aca="false">BS35-BS64+BS57</f>
        <v>5226250</v>
      </c>
      <c r="BT75" s="23" t="n">
        <f aca="false">BT35-BT64+BT57</f>
        <v>5327500</v>
      </c>
      <c r="BU75" s="23" t="n">
        <f aca="false">BU35-BU64+BU57</f>
        <v>5327500</v>
      </c>
      <c r="BV75" s="23" t="n">
        <f aca="false">BV35-BV64+BV57</f>
        <v>5327500</v>
      </c>
      <c r="BW75" s="23" t="n">
        <f aca="false">BW35-BW64+BW57</f>
        <v>5327500</v>
      </c>
      <c r="BX75" s="23" t="n">
        <f aca="false">BX35-BX64+BX57</f>
        <v>5327500</v>
      </c>
      <c r="BY75" s="23" t="n">
        <f aca="false">BY35-BY64+BY57</f>
        <v>5327500</v>
      </c>
      <c r="BZ75" s="23" t="n">
        <f aca="false">BZ35-BZ64+BZ57</f>
        <v>5327500</v>
      </c>
      <c r="CA75" s="23" t="n">
        <f aca="false">CA35-CA64+CA57</f>
        <v>5327500</v>
      </c>
      <c r="CB75" s="23" t="n">
        <f aca="false">CB35-CB64+CB57</f>
        <v>5327500</v>
      </c>
      <c r="CC75" s="23" t="n">
        <f aca="false">CC35-CC64+CC57</f>
        <v>5327500</v>
      </c>
      <c r="CD75" s="23" t="n">
        <f aca="false">CD35-CD64+CD57</f>
        <v>5327500</v>
      </c>
      <c r="CE75" s="23" t="n">
        <f aca="false">CE35-CE64+CE57</f>
        <v>5327500</v>
      </c>
      <c r="CF75" s="23" t="n">
        <f aca="false">CF35-CF64+CF57</f>
        <v>5327500</v>
      </c>
      <c r="CG75" s="23" t="n">
        <f aca="false">CG35-CG64+CG57</f>
        <v>5327500</v>
      </c>
      <c r="CH75" s="23" t="n">
        <f aca="false">CH35-CH64+CH57</f>
        <v>5327500</v>
      </c>
      <c r="CI75" s="23" t="n">
        <f aca="false">CI35-CI64+CI57</f>
        <v>5327500</v>
      </c>
      <c r="CJ75" s="23" t="n">
        <f aca="false">CJ35-CJ64+CJ57</f>
        <v>5327500</v>
      </c>
      <c r="CK75" s="23" t="n">
        <f aca="false">CK35-CK64+CK57</f>
        <v>5327500</v>
      </c>
      <c r="CL75" s="23" t="n">
        <f aca="false">CL35-CL64+CL57</f>
        <v>5327500</v>
      </c>
      <c r="CM75" s="23" t="n">
        <f aca="false">CM35-CM64+CM57</f>
        <v>5327500</v>
      </c>
      <c r="CN75" s="23" t="n">
        <f aca="false">CN35-CN64+CN57</f>
        <v>5327500</v>
      </c>
      <c r="CO75" s="23" t="n">
        <f aca="false">CO35-CO64+CO57</f>
        <v>5327500</v>
      </c>
      <c r="CP75" s="23" t="n">
        <f aca="false">CP35-CP64+CP57</f>
        <v>5327500</v>
      </c>
      <c r="CQ75" s="23" t="n">
        <f aca="false">CQ35-CQ64+CQ57</f>
        <v>5327500</v>
      </c>
      <c r="CR75" s="23" t="n">
        <f aca="false">CR35-CR64+CR57</f>
        <v>5327500</v>
      </c>
      <c r="CS75" s="23" t="n">
        <f aca="false">CS35-CS64+CS57</f>
        <v>5327500</v>
      </c>
      <c r="CT75" s="23" t="n">
        <f aca="false">CT35-CT64+CT57</f>
        <v>5327500</v>
      </c>
      <c r="CU75" s="23" t="n">
        <f aca="false">CU35-CU64+CU57</f>
        <v>5327500</v>
      </c>
      <c r="CV75" s="23" t="n">
        <f aca="false">CV35-CV64+CV57</f>
        <v>5327500</v>
      </c>
      <c r="CW75" s="23" t="n">
        <f aca="false">CW35-CW64+CW57</f>
        <v>5327500</v>
      </c>
      <c r="CX75" s="23" t="n">
        <f aca="false">CX35-CX64+CX57</f>
        <v>5327500</v>
      </c>
      <c r="CY75" s="23" t="n">
        <f aca="false">CY35-CY64+CY57</f>
        <v>5327500</v>
      </c>
      <c r="CZ75" s="23" t="n">
        <f aca="false">CZ35-CZ64+CZ57</f>
        <v>5327500</v>
      </c>
      <c r="DA75" s="23" t="n">
        <f aca="false">DA35-DA64+DA57</f>
        <v>5327500</v>
      </c>
      <c r="DB75" s="23" t="n">
        <f aca="false">DB35-DB64+DB57</f>
        <v>5327500</v>
      </c>
      <c r="DC75" s="23" t="n">
        <f aca="false">DC35-DC64+DC57</f>
        <v>5327500</v>
      </c>
      <c r="DD75" s="23" t="n">
        <f aca="false">DD35-DD64+DD57</f>
        <v>5327500</v>
      </c>
      <c r="DE75" s="23" t="n">
        <f aca="false">DE35-DE64+DE57</f>
        <v>5327500</v>
      </c>
      <c r="DF75" s="23" t="n">
        <f aca="false">DF35-DF64+DF57</f>
        <v>5327500</v>
      </c>
      <c r="DG75" s="23" t="n">
        <f aca="false">DG35-DG64+DG57</f>
        <v>5327500</v>
      </c>
      <c r="DH75" s="23" t="n">
        <f aca="false">DH35-DH64+DH57</f>
        <v>9827500</v>
      </c>
      <c r="DI75" s="23" t="n">
        <f aca="false">DI35-DI64+DI57</f>
        <v>9827500</v>
      </c>
      <c r="DJ75" s="23" t="n">
        <f aca="false">DJ35-DJ64+DJ57</f>
        <v>9827500</v>
      </c>
      <c r="DK75" s="23" t="n">
        <f aca="false">DK35-DK64+DK57</f>
        <v>9827500</v>
      </c>
      <c r="DL75" s="23" t="n">
        <f aca="false">DL35-DL64+DL57</f>
        <v>9827500</v>
      </c>
      <c r="DM75" s="23" t="n">
        <f aca="false">DM35-DM64+DM57</f>
        <v>9827500</v>
      </c>
      <c r="DN75" s="23" t="n">
        <f aca="false">DN35-DN64+DN57</f>
        <v>9827500</v>
      </c>
      <c r="DO75" s="23" t="n">
        <f aca="false">DO35-DO64+DO57</f>
        <v>9827500</v>
      </c>
      <c r="DP75" s="23" t="n">
        <f aca="false">DP35-DP64+DP57</f>
        <v>9827500</v>
      </c>
      <c r="DQ75" s="23" t="n">
        <f aca="false">DQ35-DQ64+DQ57</f>
        <v>9827500</v>
      </c>
      <c r="DR75" s="23" t="n">
        <f aca="false">DR35-DR64+DR57</f>
        <v>9827500</v>
      </c>
      <c r="DS75" s="23" t="n">
        <f aca="false">DS35-DS64+DS57</f>
        <v>9827500</v>
      </c>
      <c r="DT75" s="23" t="n">
        <f aca="false">DT35-DT64+DT57</f>
        <v>9827500</v>
      </c>
      <c r="DU75" s="23" t="n">
        <f aca="false">DU35-DU64+DU57</f>
        <v>9827500</v>
      </c>
      <c r="DV75" s="23" t="n">
        <f aca="false">DV35-DV64+DV57</f>
        <v>9827500</v>
      </c>
      <c r="DW75" s="23" t="n">
        <f aca="false">DW35-DW64+DW57</f>
        <v>9827500</v>
      </c>
      <c r="DX75" s="23" t="n">
        <f aca="false">DX35-DX64+DX57</f>
        <v>9827500</v>
      </c>
      <c r="DY75" s="23" t="n">
        <f aca="false">DY35-DY64+DY57</f>
        <v>9827500</v>
      </c>
      <c r="DZ75" s="23" t="n">
        <f aca="false">DZ35-DZ64+DZ57</f>
        <v>9827500</v>
      </c>
      <c r="EA75" s="23" t="n">
        <f aca="false">EA35-EA64+EA57</f>
        <v>9827500</v>
      </c>
      <c r="EB75" s="23" t="n">
        <f aca="false">EB35-EB64+EB57</f>
        <v>0</v>
      </c>
      <c r="EC75" s="23" t="n">
        <f aca="false">EC35-EC64+EC57</f>
        <v>0</v>
      </c>
      <c r="ED75" s="23" t="n">
        <f aca="false">ED35-ED64+ED57</f>
        <v>0</v>
      </c>
      <c r="EE75" s="23" t="n">
        <f aca="false">EE35-EE64+EE57</f>
        <v>0</v>
      </c>
      <c r="EF75" s="23" t="n">
        <f aca="false">EF35-EF64+EF57</f>
        <v>0</v>
      </c>
      <c r="EG75" s="23" t="n">
        <f aca="false">EG35-EG64+EG57</f>
        <v>0</v>
      </c>
      <c r="EH75" s="23" t="n">
        <f aca="false">EH35-EH64+EH57</f>
        <v>0</v>
      </c>
      <c r="EI75" s="23" t="n">
        <f aca="false">EI35-EI64+EI57</f>
        <v>0</v>
      </c>
      <c r="EJ75" s="23" t="n">
        <f aca="false">EJ35-EJ64+EJ57</f>
        <v>0</v>
      </c>
      <c r="EK75" s="23" t="n">
        <f aca="false">EK35-EK64+EK57</f>
        <v>0</v>
      </c>
      <c r="EL75" s="23" t="n">
        <f aca="false">EL35-EL64+EL57</f>
        <v>0</v>
      </c>
      <c r="EM75" s="23" t="n">
        <f aca="false">EM35-EM64+EM57</f>
        <v>0</v>
      </c>
      <c r="EN75" s="23" t="n">
        <f aca="false">EN35-EN64+EN57</f>
        <v>0</v>
      </c>
      <c r="EO75" s="23" t="n">
        <f aca="false">EO35-EO64+EO57</f>
        <v>0</v>
      </c>
      <c r="EP75" s="23" t="n">
        <f aca="false">EP35-EP64+EP57</f>
        <v>0</v>
      </c>
      <c r="EQ75" s="23" t="n">
        <f aca="false">EQ35-EQ64+EQ57</f>
        <v>0</v>
      </c>
      <c r="ER75" s="23" t="n">
        <f aca="false">ER35-ER64+ER57</f>
        <v>0</v>
      </c>
      <c r="ES75" s="23" t="n">
        <f aca="false">ES35-ES64+ES57</f>
        <v>0</v>
      </c>
      <c r="ET75" s="23" t="n">
        <f aca="false">ET35-ET64+ET57</f>
        <v>0</v>
      </c>
      <c r="EU75" s="23" t="n">
        <f aca="false">EU35-EU64+EU57</f>
        <v>0</v>
      </c>
      <c r="EV75" s="23" t="n">
        <f aca="false">EV35-EV64+EV57</f>
        <v>0</v>
      </c>
      <c r="EW75" s="23" t="n">
        <f aca="false">EW35-EW64+EW57</f>
        <v>0</v>
      </c>
      <c r="EX75" s="23" t="n">
        <f aca="false">EX35-EX64+EX57</f>
        <v>0</v>
      </c>
      <c r="EY75" s="23" t="n">
        <f aca="false">EY35-EY64+EY57</f>
        <v>0</v>
      </c>
      <c r="EZ75" s="23" t="n">
        <f aca="false">EZ35-EZ64+EZ57</f>
        <v>0</v>
      </c>
      <c r="FA75" s="23" t="n">
        <f aca="false">FA35-FA64+FA57</f>
        <v>0</v>
      </c>
      <c r="FB75" s="23" t="n">
        <f aca="false">FB35-FB64+FB57</f>
        <v>0</v>
      </c>
      <c r="FC75" s="23" t="n">
        <f aca="false">FC35-FC64+FC57</f>
        <v>0</v>
      </c>
      <c r="FD75" s="23" t="n">
        <f aca="false">FD35-FD64+FD57</f>
        <v>0</v>
      </c>
      <c r="FE75" s="23" t="n">
        <f aca="false">FE35-FE64+FE57</f>
        <v>0</v>
      </c>
      <c r="FF75" s="23" t="n">
        <f aca="false">FF35-FF64+FF57</f>
        <v>0</v>
      </c>
      <c r="FG75" s="23" t="n">
        <f aca="false">FG35-FG64+FG57</f>
        <v>0</v>
      </c>
      <c r="FH75" s="23" t="n">
        <f aca="false">FH35-FH64+FH57</f>
        <v>0</v>
      </c>
      <c r="FI75" s="23" t="n">
        <f aca="false">FI35-FI64+FI57</f>
        <v>0</v>
      </c>
      <c r="FJ75" s="23" t="n">
        <f aca="false">FJ35-FJ64+FJ57</f>
        <v>0</v>
      </c>
      <c r="FK75" s="23" t="n">
        <f aca="false">FK35-FK64+FK57</f>
        <v>0</v>
      </c>
    </row>
    <row r="76" customFormat="false" ht="15" hidden="false" customHeight="true" outlineLevel="0" collapsed="false">
      <c r="D76" s="21" t="s">
        <v>110</v>
      </c>
      <c r="E76" s="7" t="s">
        <v>28</v>
      </c>
      <c r="H76" s="23" t="s">
        <v>101</v>
      </c>
      <c r="I76" s="23" t="n">
        <f aca="false">H79</f>
        <v>0</v>
      </c>
      <c r="J76" s="23" t="n">
        <f aca="false">I79</f>
        <v>-1518750</v>
      </c>
      <c r="K76" s="23" t="n">
        <f aca="false">J79</f>
        <v>-4556250</v>
      </c>
      <c r="L76" s="23" t="n">
        <f aca="false">K79</f>
        <v>-9112500</v>
      </c>
      <c r="M76" s="23" t="n">
        <f aca="false">L79</f>
        <v>-9860000</v>
      </c>
      <c r="N76" s="23" t="n">
        <f aca="false">M79</f>
        <v>-10506250</v>
      </c>
      <c r="O76" s="23" t="n">
        <f aca="false">N79</f>
        <v>-11051250</v>
      </c>
      <c r="P76" s="23" t="n">
        <f aca="false">O79</f>
        <v>-11495000</v>
      </c>
      <c r="Q76" s="23" t="n">
        <f aca="false">P79</f>
        <v>-11837500</v>
      </c>
      <c r="R76" s="23" t="n">
        <f aca="false">Q79</f>
        <v>-12078750</v>
      </c>
      <c r="S76" s="23" t="n">
        <f aca="false">R79</f>
        <v>-12218750</v>
      </c>
      <c r="T76" s="23" t="n">
        <f aca="false">S79</f>
        <v>-12257500</v>
      </c>
      <c r="U76" s="23" t="n">
        <f aca="false">T79</f>
        <v>-12195000</v>
      </c>
      <c r="V76" s="23" t="n">
        <f aca="false">U79</f>
        <v>-12031250</v>
      </c>
      <c r="W76" s="23" t="n">
        <f aca="false">V79</f>
        <v>-11766250</v>
      </c>
      <c r="X76" s="23" t="n">
        <f aca="false">W79</f>
        <v>-11400000</v>
      </c>
      <c r="Y76" s="23" t="n">
        <f aca="false">X79</f>
        <v>-10932500</v>
      </c>
      <c r="Z76" s="23" t="n">
        <f aca="false">Y79</f>
        <v>-10363750</v>
      </c>
      <c r="AA76" s="23" t="n">
        <f aca="false">Z79</f>
        <v>-9693750</v>
      </c>
      <c r="AB76" s="23" t="n">
        <f aca="false">AA79</f>
        <v>-8922500</v>
      </c>
      <c r="AC76" s="23" t="n">
        <f aca="false">AB79</f>
        <v>-8050000</v>
      </c>
      <c r="AD76" s="23" t="n">
        <f aca="false">AC79</f>
        <v>-7076250</v>
      </c>
      <c r="AE76" s="23" t="n">
        <f aca="false">AD79</f>
        <v>-6001250</v>
      </c>
      <c r="AF76" s="23" t="n">
        <f aca="false">AE79</f>
        <v>-4825000</v>
      </c>
      <c r="AG76" s="23" t="n">
        <f aca="false">AF79</f>
        <v>-3547500</v>
      </c>
      <c r="AH76" s="23" t="n">
        <f aca="false">AG79</f>
        <v>-2168750</v>
      </c>
      <c r="AI76" s="23" t="n">
        <f aca="false">AH79</f>
        <v>-688750</v>
      </c>
      <c r="AJ76" s="23" t="n">
        <f aca="false">AI79</f>
        <v>0</v>
      </c>
      <c r="AK76" s="23" t="n">
        <f aca="false">AJ79</f>
        <v>0</v>
      </c>
      <c r="AL76" s="23" t="n">
        <f aca="false">AK79</f>
        <v>0</v>
      </c>
      <c r="AM76" s="23" t="n">
        <f aca="false">AL79</f>
        <v>0</v>
      </c>
      <c r="AN76" s="23" t="n">
        <f aca="false">AM79</f>
        <v>0</v>
      </c>
      <c r="AO76" s="23" t="n">
        <f aca="false">AN79</f>
        <v>0</v>
      </c>
      <c r="AP76" s="23" t="n">
        <f aca="false">AO79</f>
        <v>0</v>
      </c>
      <c r="AQ76" s="23" t="n">
        <f aca="false">AP79</f>
        <v>0</v>
      </c>
      <c r="AR76" s="23" t="n">
        <f aca="false">AQ79</f>
        <v>0</v>
      </c>
      <c r="AS76" s="23" t="n">
        <f aca="false">AR79</f>
        <v>0</v>
      </c>
      <c r="AT76" s="23" t="n">
        <f aca="false">AS79</f>
        <v>0</v>
      </c>
      <c r="AU76" s="23" t="n">
        <f aca="false">AT79</f>
        <v>0</v>
      </c>
      <c r="AV76" s="23" t="n">
        <f aca="false">AU79</f>
        <v>0</v>
      </c>
      <c r="AW76" s="23" t="n">
        <f aca="false">AV79</f>
        <v>0</v>
      </c>
      <c r="AX76" s="23" t="n">
        <f aca="false">AW79</f>
        <v>0</v>
      </c>
      <c r="AY76" s="23" t="n">
        <f aca="false">AX79</f>
        <v>0</v>
      </c>
      <c r="AZ76" s="23" t="n">
        <f aca="false">AY79</f>
        <v>0</v>
      </c>
      <c r="BA76" s="23" t="n">
        <f aca="false">AZ79</f>
        <v>0</v>
      </c>
      <c r="BB76" s="23" t="n">
        <f aca="false">BA79</f>
        <v>0</v>
      </c>
      <c r="BC76" s="23" t="n">
        <f aca="false">BB79</f>
        <v>0</v>
      </c>
      <c r="BD76" s="23" t="n">
        <f aca="false">BC79</f>
        <v>0</v>
      </c>
      <c r="BE76" s="23" t="n">
        <f aca="false">BD79</f>
        <v>0</v>
      </c>
      <c r="BF76" s="23" t="n">
        <f aca="false">BE79</f>
        <v>0</v>
      </c>
      <c r="BG76" s="23" t="n">
        <f aca="false">BF79</f>
        <v>0</v>
      </c>
      <c r="BH76" s="23" t="n">
        <f aca="false">BG79</f>
        <v>0</v>
      </c>
      <c r="BI76" s="23" t="n">
        <f aca="false">BH79</f>
        <v>0</v>
      </c>
      <c r="BJ76" s="23" t="n">
        <f aca="false">BI79</f>
        <v>0</v>
      </c>
      <c r="BK76" s="23" t="n">
        <f aca="false">BJ79</f>
        <v>0</v>
      </c>
      <c r="BL76" s="23" t="n">
        <f aca="false">BK79</f>
        <v>0</v>
      </c>
      <c r="BM76" s="23" t="n">
        <f aca="false">BL79</f>
        <v>0</v>
      </c>
      <c r="BN76" s="23" t="n">
        <f aca="false">BM79</f>
        <v>0</v>
      </c>
      <c r="BO76" s="23" t="n">
        <f aca="false">BN79</f>
        <v>0</v>
      </c>
      <c r="BP76" s="23" t="n">
        <f aca="false">BO79</f>
        <v>0</v>
      </c>
      <c r="BQ76" s="23" t="n">
        <f aca="false">BP79</f>
        <v>0</v>
      </c>
      <c r="BR76" s="23" t="n">
        <f aca="false">BQ79</f>
        <v>0</v>
      </c>
      <c r="BS76" s="23" t="n">
        <f aca="false">BR79</f>
        <v>0</v>
      </c>
      <c r="BT76" s="23" t="n">
        <f aca="false">BS79</f>
        <v>0</v>
      </c>
      <c r="BU76" s="23" t="n">
        <f aca="false">BT79</f>
        <v>0</v>
      </c>
      <c r="BV76" s="23" t="n">
        <f aca="false">BU79</f>
        <v>0</v>
      </c>
      <c r="BW76" s="23" t="n">
        <f aca="false">BV79</f>
        <v>0</v>
      </c>
      <c r="BX76" s="23" t="n">
        <f aca="false">BW79</f>
        <v>0</v>
      </c>
      <c r="BY76" s="23" t="n">
        <f aca="false">BX79</f>
        <v>0</v>
      </c>
      <c r="BZ76" s="23" t="n">
        <f aca="false">BY79</f>
        <v>0</v>
      </c>
      <c r="CA76" s="23" t="n">
        <f aca="false">BZ79</f>
        <v>0</v>
      </c>
      <c r="CB76" s="23" t="n">
        <f aca="false">CA79</f>
        <v>0</v>
      </c>
      <c r="CC76" s="23" t="n">
        <f aca="false">CB79</f>
        <v>0</v>
      </c>
      <c r="CD76" s="23" t="n">
        <f aca="false">CC79</f>
        <v>0</v>
      </c>
      <c r="CE76" s="23" t="n">
        <f aca="false">CD79</f>
        <v>0</v>
      </c>
      <c r="CF76" s="23" t="n">
        <f aca="false">CE79</f>
        <v>0</v>
      </c>
      <c r="CG76" s="23" t="n">
        <f aca="false">CF79</f>
        <v>0</v>
      </c>
      <c r="CH76" s="23" t="n">
        <f aca="false">CG79</f>
        <v>0</v>
      </c>
      <c r="CI76" s="23" t="n">
        <f aca="false">CH79</f>
        <v>0</v>
      </c>
      <c r="CJ76" s="23" t="n">
        <f aca="false">CI79</f>
        <v>0</v>
      </c>
      <c r="CK76" s="23" t="n">
        <f aca="false">CJ79</f>
        <v>0</v>
      </c>
      <c r="CL76" s="23" t="n">
        <f aca="false">CK79</f>
        <v>0</v>
      </c>
      <c r="CM76" s="23" t="n">
        <f aca="false">CL79</f>
        <v>0</v>
      </c>
      <c r="CN76" s="23" t="n">
        <f aca="false">CM79</f>
        <v>0</v>
      </c>
      <c r="CO76" s="23" t="n">
        <f aca="false">CN79</f>
        <v>0</v>
      </c>
      <c r="CP76" s="23" t="n">
        <f aca="false">CO79</f>
        <v>0</v>
      </c>
      <c r="CQ76" s="23" t="n">
        <f aca="false">CP79</f>
        <v>0</v>
      </c>
      <c r="CR76" s="23" t="n">
        <f aca="false">CQ79</f>
        <v>0</v>
      </c>
      <c r="CS76" s="23" t="n">
        <f aca="false">CR79</f>
        <v>0</v>
      </c>
      <c r="CT76" s="23" t="n">
        <f aca="false">CS79</f>
        <v>0</v>
      </c>
      <c r="CU76" s="23" t="n">
        <f aca="false">CT79</f>
        <v>0</v>
      </c>
      <c r="CV76" s="23" t="n">
        <f aca="false">CU79</f>
        <v>0</v>
      </c>
      <c r="CW76" s="23" t="n">
        <f aca="false">CV79</f>
        <v>0</v>
      </c>
      <c r="CX76" s="23" t="n">
        <f aca="false">CW79</f>
        <v>0</v>
      </c>
      <c r="CY76" s="23" t="n">
        <f aca="false">CX79</f>
        <v>0</v>
      </c>
      <c r="CZ76" s="23" t="n">
        <f aca="false">CY79</f>
        <v>0</v>
      </c>
      <c r="DA76" s="23" t="n">
        <f aca="false">CZ79</f>
        <v>0</v>
      </c>
      <c r="DB76" s="23" t="n">
        <f aca="false">DA79</f>
        <v>0</v>
      </c>
      <c r="DC76" s="23" t="n">
        <f aca="false">DB79</f>
        <v>0</v>
      </c>
      <c r="DD76" s="23" t="n">
        <f aca="false">DC79</f>
        <v>0</v>
      </c>
      <c r="DE76" s="23" t="n">
        <f aca="false">DD79</f>
        <v>0</v>
      </c>
      <c r="DF76" s="23" t="n">
        <f aca="false">DE79</f>
        <v>0</v>
      </c>
      <c r="DG76" s="23" t="n">
        <f aca="false">DF79</f>
        <v>0</v>
      </c>
      <c r="DH76" s="23" t="n">
        <f aca="false">DG79</f>
        <v>0</v>
      </c>
      <c r="DI76" s="23" t="n">
        <f aca="false">DH79</f>
        <v>0</v>
      </c>
      <c r="DJ76" s="23" t="n">
        <f aca="false">DI79</f>
        <v>0</v>
      </c>
      <c r="DK76" s="23" t="n">
        <f aca="false">DJ79</f>
        <v>0</v>
      </c>
      <c r="DL76" s="23" t="n">
        <f aca="false">DK79</f>
        <v>0</v>
      </c>
      <c r="DM76" s="23" t="n">
        <f aca="false">DL79</f>
        <v>0</v>
      </c>
      <c r="DN76" s="23" t="n">
        <f aca="false">DM79</f>
        <v>0</v>
      </c>
      <c r="DO76" s="23" t="n">
        <f aca="false">DN79</f>
        <v>0</v>
      </c>
      <c r="DP76" s="23" t="n">
        <f aca="false">DO79</f>
        <v>0</v>
      </c>
      <c r="DQ76" s="23" t="n">
        <f aca="false">DP79</f>
        <v>0</v>
      </c>
      <c r="DR76" s="23" t="n">
        <f aca="false">DQ79</f>
        <v>0</v>
      </c>
      <c r="DS76" s="23" t="n">
        <f aca="false">DR79</f>
        <v>0</v>
      </c>
      <c r="DT76" s="23" t="n">
        <f aca="false">DS79</f>
        <v>0</v>
      </c>
      <c r="DU76" s="23" t="n">
        <f aca="false">DT79</f>
        <v>0</v>
      </c>
      <c r="DV76" s="23" t="n">
        <f aca="false">DU79</f>
        <v>0</v>
      </c>
      <c r="DW76" s="23" t="n">
        <f aca="false">DV79</f>
        <v>0</v>
      </c>
      <c r="DX76" s="23" t="n">
        <f aca="false">DW79</f>
        <v>0</v>
      </c>
      <c r="DY76" s="23" t="n">
        <f aca="false">DX79</f>
        <v>0</v>
      </c>
      <c r="DZ76" s="23" t="n">
        <f aca="false">DY79</f>
        <v>0</v>
      </c>
      <c r="EA76" s="23" t="n">
        <f aca="false">DZ79</f>
        <v>0</v>
      </c>
      <c r="EB76" s="23" t="n">
        <f aca="false">EA79</f>
        <v>0</v>
      </c>
      <c r="EC76" s="23" t="n">
        <f aca="false">EB79</f>
        <v>0</v>
      </c>
      <c r="ED76" s="23" t="n">
        <f aca="false">EC79</f>
        <v>0</v>
      </c>
      <c r="EE76" s="23" t="n">
        <f aca="false">ED79</f>
        <v>0</v>
      </c>
      <c r="EF76" s="23" t="n">
        <f aca="false">EE79</f>
        <v>0</v>
      </c>
      <c r="EG76" s="23" t="n">
        <f aca="false">EF79</f>
        <v>0</v>
      </c>
      <c r="EH76" s="23" t="n">
        <f aca="false">EG79</f>
        <v>0</v>
      </c>
      <c r="EI76" s="23" t="n">
        <f aca="false">EH79</f>
        <v>0</v>
      </c>
      <c r="EJ76" s="23" t="n">
        <f aca="false">EI79</f>
        <v>0</v>
      </c>
      <c r="EK76" s="23" t="n">
        <f aca="false">EJ79</f>
        <v>0</v>
      </c>
      <c r="EL76" s="23" t="n">
        <f aca="false">EK79</f>
        <v>0</v>
      </c>
      <c r="EM76" s="23" t="n">
        <f aca="false">EL79</f>
        <v>0</v>
      </c>
      <c r="EN76" s="23" t="n">
        <f aca="false">EM79</f>
        <v>0</v>
      </c>
      <c r="EO76" s="23" t="n">
        <f aca="false">EN79</f>
        <v>0</v>
      </c>
      <c r="EP76" s="23" t="n">
        <f aca="false">EO79</f>
        <v>0</v>
      </c>
      <c r="EQ76" s="23" t="n">
        <f aca="false">EP79</f>
        <v>0</v>
      </c>
      <c r="ER76" s="23" t="n">
        <f aca="false">EQ79</f>
        <v>0</v>
      </c>
      <c r="ES76" s="23" t="n">
        <f aca="false">ER79</f>
        <v>0</v>
      </c>
      <c r="ET76" s="23" t="n">
        <f aca="false">ES79</f>
        <v>0</v>
      </c>
      <c r="EU76" s="23" t="n">
        <f aca="false">ET79</f>
        <v>0</v>
      </c>
      <c r="EV76" s="23" t="n">
        <f aca="false">EU79</f>
        <v>0</v>
      </c>
      <c r="EW76" s="23" t="n">
        <f aca="false">EV79</f>
        <v>0</v>
      </c>
      <c r="EX76" s="23" t="n">
        <f aca="false">EW79</f>
        <v>0</v>
      </c>
      <c r="EY76" s="23" t="n">
        <f aca="false">EX79</f>
        <v>0</v>
      </c>
      <c r="EZ76" s="23" t="n">
        <f aca="false">EY79</f>
        <v>0</v>
      </c>
      <c r="FA76" s="23" t="n">
        <f aca="false">EZ79</f>
        <v>0</v>
      </c>
      <c r="FB76" s="23" t="n">
        <f aca="false">FA79</f>
        <v>0</v>
      </c>
      <c r="FC76" s="23" t="n">
        <f aca="false">FB79</f>
        <v>0</v>
      </c>
      <c r="FD76" s="23" t="n">
        <f aca="false">FC79</f>
        <v>0</v>
      </c>
      <c r="FE76" s="23" t="n">
        <f aca="false">FD79</f>
        <v>0</v>
      </c>
      <c r="FF76" s="23" t="n">
        <f aca="false">FE79</f>
        <v>0</v>
      </c>
      <c r="FG76" s="23" t="n">
        <f aca="false">FF79</f>
        <v>0</v>
      </c>
      <c r="FH76" s="23" t="n">
        <f aca="false">FG79</f>
        <v>0</v>
      </c>
      <c r="FI76" s="23" t="n">
        <f aca="false">FH79</f>
        <v>0</v>
      </c>
      <c r="FJ76" s="23" t="n">
        <f aca="false">FI79</f>
        <v>0</v>
      </c>
      <c r="FK76" s="23" t="n">
        <f aca="false">FJ79</f>
        <v>0</v>
      </c>
    </row>
    <row r="77" customFormat="false" ht="15" hidden="false" customHeight="false" outlineLevel="0" collapsed="false">
      <c r="D77" s="21" t="s">
        <v>111</v>
      </c>
      <c r="E77" s="7" t="s">
        <v>28</v>
      </c>
      <c r="H77" s="23" t="n">
        <f aca="false">H75+H76</f>
        <v>0</v>
      </c>
      <c r="I77" s="23" t="n">
        <f aca="false">I75+I76</f>
        <v>-1518750</v>
      </c>
      <c r="J77" s="23" t="n">
        <f aca="false">J75+J76</f>
        <v>-4556250</v>
      </c>
      <c r="K77" s="23" t="n">
        <f aca="false">K75+K76</f>
        <v>-9112500</v>
      </c>
      <c r="L77" s="23" t="n">
        <f aca="false">L75+L76</f>
        <v>-9860000</v>
      </c>
      <c r="M77" s="23" t="n">
        <f aca="false">M75+M76</f>
        <v>-10506250</v>
      </c>
      <c r="N77" s="23" t="n">
        <f aca="false">N75+N76</f>
        <v>-11051250</v>
      </c>
      <c r="O77" s="23" t="n">
        <f aca="false">O75+O76</f>
        <v>-11495000</v>
      </c>
      <c r="P77" s="23" t="n">
        <f aca="false">P75+P76</f>
        <v>-11837500</v>
      </c>
      <c r="Q77" s="23" t="n">
        <f aca="false">Q75+Q76</f>
        <v>-12078750</v>
      </c>
      <c r="R77" s="23" t="n">
        <f aca="false">R75+R76</f>
        <v>-12218750</v>
      </c>
      <c r="S77" s="23" t="n">
        <f aca="false">S75+S76</f>
        <v>-12257500</v>
      </c>
      <c r="T77" s="23" t="n">
        <f aca="false">T75+T76</f>
        <v>-12195000</v>
      </c>
      <c r="U77" s="23" t="n">
        <f aca="false">U75+U76</f>
        <v>-12031250</v>
      </c>
      <c r="V77" s="23" t="n">
        <f aca="false">V75+V76</f>
        <v>-11766250</v>
      </c>
      <c r="W77" s="23" t="n">
        <f aca="false">W75+W76</f>
        <v>-11400000</v>
      </c>
      <c r="X77" s="23" t="n">
        <f aca="false">X75+X76</f>
        <v>-10932500</v>
      </c>
      <c r="Y77" s="23" t="n">
        <f aca="false">Y75+Y76</f>
        <v>-10363750</v>
      </c>
      <c r="Z77" s="23" t="n">
        <f aca="false">Z75+Z76</f>
        <v>-9693750</v>
      </c>
      <c r="AA77" s="23" t="n">
        <f aca="false">AA75+AA76</f>
        <v>-8922500</v>
      </c>
      <c r="AB77" s="23" t="n">
        <f aca="false">AB75+AB76</f>
        <v>-8050000</v>
      </c>
      <c r="AC77" s="23" t="n">
        <f aca="false">AC75+AC76</f>
        <v>-7076250</v>
      </c>
      <c r="AD77" s="23" t="n">
        <f aca="false">AD75+AD76</f>
        <v>-6001250</v>
      </c>
      <c r="AE77" s="23" t="n">
        <f aca="false">AE75+AE76</f>
        <v>-4825000</v>
      </c>
      <c r="AF77" s="23" t="n">
        <f aca="false">AF75+AF76</f>
        <v>-3547500</v>
      </c>
      <c r="AG77" s="23" t="n">
        <f aca="false">AG75+AG76</f>
        <v>-2168750</v>
      </c>
      <c r="AH77" s="23" t="n">
        <f aca="false">AH75+AH76</f>
        <v>-688750</v>
      </c>
      <c r="AI77" s="23" t="n">
        <f aca="false">AI75+AI76</f>
        <v>892500</v>
      </c>
      <c r="AJ77" s="23" t="n">
        <f aca="false">AJ75+AJ76</f>
        <v>1682500</v>
      </c>
      <c r="AK77" s="23" t="n">
        <f aca="false">AK75+AK76</f>
        <v>1783750</v>
      </c>
      <c r="AL77" s="23" t="n">
        <f aca="false">AL75+AL76</f>
        <v>1885000</v>
      </c>
      <c r="AM77" s="23" t="n">
        <f aca="false">AM75+AM76</f>
        <v>1986250</v>
      </c>
      <c r="AN77" s="23" t="n">
        <f aca="false">AN75+AN76</f>
        <v>2087500</v>
      </c>
      <c r="AO77" s="23" t="n">
        <f aca="false">AO75+AO76</f>
        <v>2188750</v>
      </c>
      <c r="AP77" s="23" t="n">
        <f aca="false">AP75+AP76</f>
        <v>2290000</v>
      </c>
      <c r="AQ77" s="23" t="n">
        <f aca="false">AQ75+AQ76</f>
        <v>2391250</v>
      </c>
      <c r="AR77" s="23" t="n">
        <f aca="false">AR75+AR76</f>
        <v>2492500</v>
      </c>
      <c r="AS77" s="23" t="n">
        <f aca="false">AS75+AS76</f>
        <v>2593750</v>
      </c>
      <c r="AT77" s="23" t="n">
        <f aca="false">AT75+AT76</f>
        <v>2695000</v>
      </c>
      <c r="AU77" s="23" t="n">
        <f aca="false">AU75+AU76</f>
        <v>2796250</v>
      </c>
      <c r="AV77" s="23" t="n">
        <f aca="false">AV75+AV76</f>
        <v>2897500</v>
      </c>
      <c r="AW77" s="23" t="n">
        <f aca="false">AW75+AW76</f>
        <v>2998750</v>
      </c>
      <c r="AX77" s="23" t="n">
        <f aca="false">AX75+AX76</f>
        <v>3100000</v>
      </c>
      <c r="AY77" s="23" t="n">
        <f aca="false">AY75+AY76</f>
        <v>3201250</v>
      </c>
      <c r="AZ77" s="23" t="n">
        <f aca="false">AZ75+AZ76</f>
        <v>3302500</v>
      </c>
      <c r="BA77" s="23" t="n">
        <f aca="false">BA75+BA76</f>
        <v>3403750</v>
      </c>
      <c r="BB77" s="23" t="n">
        <f aca="false">BB75+BB76</f>
        <v>3505000</v>
      </c>
      <c r="BC77" s="23" t="n">
        <f aca="false">BC75+BC76</f>
        <v>3606250</v>
      </c>
      <c r="BD77" s="23" t="n">
        <f aca="false">BD75+BD76</f>
        <v>3707500</v>
      </c>
      <c r="BE77" s="23" t="n">
        <f aca="false">BE75+BE76</f>
        <v>3808750</v>
      </c>
      <c r="BF77" s="23" t="n">
        <f aca="false">BF75+BF76</f>
        <v>3910000</v>
      </c>
      <c r="BG77" s="23" t="n">
        <f aca="false">BG75+BG76</f>
        <v>4011250</v>
      </c>
      <c r="BH77" s="23" t="n">
        <f aca="false">BH75+BH76</f>
        <v>4112500</v>
      </c>
      <c r="BI77" s="23" t="n">
        <f aca="false">BI75+BI76</f>
        <v>4213750</v>
      </c>
      <c r="BJ77" s="23" t="n">
        <f aca="false">BJ75+BJ76</f>
        <v>4315000</v>
      </c>
      <c r="BK77" s="23" t="n">
        <f aca="false">BK75+BK76</f>
        <v>4416250</v>
      </c>
      <c r="BL77" s="23" t="n">
        <f aca="false">BL75+BL76</f>
        <v>4517500</v>
      </c>
      <c r="BM77" s="23" t="n">
        <f aca="false">BM75+BM76</f>
        <v>4618750</v>
      </c>
      <c r="BN77" s="23" t="n">
        <f aca="false">BN75+BN76</f>
        <v>4720000</v>
      </c>
      <c r="BO77" s="23" t="n">
        <f aca="false">BO75+BO76</f>
        <v>4821250</v>
      </c>
      <c r="BP77" s="23" t="n">
        <f aca="false">BP75+BP76</f>
        <v>4922500</v>
      </c>
      <c r="BQ77" s="23" t="n">
        <f aca="false">BQ75+BQ76</f>
        <v>5023750</v>
      </c>
      <c r="BR77" s="23" t="n">
        <f aca="false">BR75+BR76</f>
        <v>5125000</v>
      </c>
      <c r="BS77" s="23" t="n">
        <f aca="false">BS75+BS76</f>
        <v>5226250</v>
      </c>
      <c r="BT77" s="23" t="n">
        <f aca="false">BT75+BT76</f>
        <v>5327500</v>
      </c>
      <c r="BU77" s="23" t="n">
        <f aca="false">BU75+BU76</f>
        <v>5327500</v>
      </c>
      <c r="BV77" s="23" t="n">
        <f aca="false">BV75+BV76</f>
        <v>5327500</v>
      </c>
      <c r="BW77" s="23" t="n">
        <f aca="false">BW75+BW76</f>
        <v>5327500</v>
      </c>
      <c r="BX77" s="23" t="n">
        <f aca="false">BX75+BX76</f>
        <v>5327500</v>
      </c>
      <c r="BY77" s="23" t="n">
        <f aca="false">BY75+BY76</f>
        <v>5327500</v>
      </c>
      <c r="BZ77" s="23" t="n">
        <f aca="false">BZ75+BZ76</f>
        <v>5327500</v>
      </c>
      <c r="CA77" s="23" t="n">
        <f aca="false">CA75+CA76</f>
        <v>5327500</v>
      </c>
      <c r="CB77" s="23" t="n">
        <f aca="false">CB75+CB76</f>
        <v>5327500</v>
      </c>
      <c r="CC77" s="23" t="n">
        <f aca="false">CC75+CC76</f>
        <v>5327500</v>
      </c>
      <c r="CD77" s="23" t="n">
        <f aca="false">CD75+CD76</f>
        <v>5327500</v>
      </c>
      <c r="CE77" s="23" t="n">
        <f aca="false">CE75+CE76</f>
        <v>5327500</v>
      </c>
      <c r="CF77" s="23" t="n">
        <f aca="false">CF75+CF76</f>
        <v>5327500</v>
      </c>
      <c r="CG77" s="23" t="n">
        <f aca="false">CG75+CG76</f>
        <v>5327500</v>
      </c>
      <c r="CH77" s="23" t="n">
        <f aca="false">CH75+CH76</f>
        <v>5327500</v>
      </c>
      <c r="CI77" s="23" t="n">
        <f aca="false">CI75+CI76</f>
        <v>5327500</v>
      </c>
      <c r="CJ77" s="23" t="n">
        <f aca="false">CJ75+CJ76</f>
        <v>5327500</v>
      </c>
      <c r="CK77" s="23" t="n">
        <f aca="false">CK75+CK76</f>
        <v>5327500</v>
      </c>
      <c r="CL77" s="23" t="n">
        <f aca="false">CL75+CL76</f>
        <v>5327500</v>
      </c>
      <c r="CM77" s="23" t="n">
        <f aca="false">CM75+CM76</f>
        <v>5327500</v>
      </c>
      <c r="CN77" s="23" t="n">
        <f aca="false">CN75+CN76</f>
        <v>5327500</v>
      </c>
      <c r="CO77" s="23" t="n">
        <f aca="false">CO75+CO76</f>
        <v>5327500</v>
      </c>
      <c r="CP77" s="23" t="n">
        <f aca="false">CP75+CP76</f>
        <v>5327500</v>
      </c>
      <c r="CQ77" s="23" t="n">
        <f aca="false">CQ75+CQ76</f>
        <v>5327500</v>
      </c>
      <c r="CR77" s="23" t="n">
        <f aca="false">CR75+CR76</f>
        <v>5327500</v>
      </c>
      <c r="CS77" s="23" t="n">
        <f aca="false">CS75+CS76</f>
        <v>5327500</v>
      </c>
      <c r="CT77" s="23" t="n">
        <f aca="false">CT75+CT76</f>
        <v>5327500</v>
      </c>
      <c r="CU77" s="23" t="n">
        <f aca="false">CU75+CU76</f>
        <v>5327500</v>
      </c>
      <c r="CV77" s="23" t="n">
        <f aca="false">CV75+CV76</f>
        <v>5327500</v>
      </c>
      <c r="CW77" s="23" t="n">
        <f aca="false">CW75+CW76</f>
        <v>5327500</v>
      </c>
      <c r="CX77" s="23" t="n">
        <f aca="false">CX75+CX76</f>
        <v>5327500</v>
      </c>
      <c r="CY77" s="23" t="n">
        <f aca="false">CY75+CY76</f>
        <v>5327500</v>
      </c>
      <c r="CZ77" s="23" t="n">
        <f aca="false">CZ75+CZ76</f>
        <v>5327500</v>
      </c>
      <c r="DA77" s="23" t="n">
        <f aca="false">DA75+DA76</f>
        <v>5327500</v>
      </c>
      <c r="DB77" s="23" t="n">
        <f aca="false">DB75+DB76</f>
        <v>5327500</v>
      </c>
      <c r="DC77" s="23" t="n">
        <f aca="false">DC75+DC76</f>
        <v>5327500</v>
      </c>
      <c r="DD77" s="23" t="n">
        <f aca="false">DD75+DD76</f>
        <v>5327500</v>
      </c>
      <c r="DE77" s="23" t="n">
        <f aca="false">DE75+DE76</f>
        <v>5327500</v>
      </c>
      <c r="DF77" s="23" t="n">
        <f aca="false">DF75+DF76</f>
        <v>5327500</v>
      </c>
      <c r="DG77" s="23" t="n">
        <f aca="false">DG75+DG76</f>
        <v>5327500</v>
      </c>
      <c r="DH77" s="23" t="n">
        <f aca="false">DH75+DH76</f>
        <v>9827500</v>
      </c>
      <c r="DI77" s="23" t="n">
        <f aca="false">DI75+DI76</f>
        <v>9827500</v>
      </c>
      <c r="DJ77" s="23" t="n">
        <f aca="false">DJ75+DJ76</f>
        <v>9827500</v>
      </c>
      <c r="DK77" s="23" t="n">
        <f aca="false">DK75+DK76</f>
        <v>9827500</v>
      </c>
      <c r="DL77" s="23" t="n">
        <f aca="false">DL75+DL76</f>
        <v>9827500</v>
      </c>
      <c r="DM77" s="23" t="n">
        <f aca="false">DM75+DM76</f>
        <v>9827500</v>
      </c>
      <c r="DN77" s="23" t="n">
        <f aca="false">DN75+DN76</f>
        <v>9827500</v>
      </c>
      <c r="DO77" s="23" t="n">
        <f aca="false">DO75+DO76</f>
        <v>9827500</v>
      </c>
      <c r="DP77" s="23" t="n">
        <f aca="false">DP75+DP76</f>
        <v>9827500</v>
      </c>
      <c r="DQ77" s="23" t="n">
        <f aca="false">DQ75+DQ76</f>
        <v>9827500</v>
      </c>
      <c r="DR77" s="23" t="n">
        <f aca="false">DR75+DR76</f>
        <v>9827500</v>
      </c>
      <c r="DS77" s="23" t="n">
        <f aca="false">DS75+DS76</f>
        <v>9827500</v>
      </c>
      <c r="DT77" s="23" t="n">
        <f aca="false">DT75+DT76</f>
        <v>9827500</v>
      </c>
      <c r="DU77" s="23" t="n">
        <f aca="false">DU75+DU76</f>
        <v>9827500</v>
      </c>
      <c r="DV77" s="23" t="n">
        <f aca="false">DV75+DV76</f>
        <v>9827500</v>
      </c>
      <c r="DW77" s="23" t="n">
        <f aca="false">DW75+DW76</f>
        <v>9827500</v>
      </c>
      <c r="DX77" s="23" t="n">
        <f aca="false">DX75+DX76</f>
        <v>9827500</v>
      </c>
      <c r="DY77" s="23" t="n">
        <f aca="false">DY75+DY76</f>
        <v>9827500</v>
      </c>
      <c r="DZ77" s="23" t="n">
        <f aca="false">DZ75+DZ76</f>
        <v>9827500</v>
      </c>
      <c r="EA77" s="23" t="n">
        <f aca="false">EA75+EA76</f>
        <v>9827500</v>
      </c>
      <c r="EB77" s="23" t="n">
        <f aca="false">EB75+EB76</f>
        <v>0</v>
      </c>
      <c r="EC77" s="23" t="n">
        <f aca="false">EC75+EC76</f>
        <v>0</v>
      </c>
      <c r="ED77" s="23" t="n">
        <f aca="false">ED75+ED76</f>
        <v>0</v>
      </c>
      <c r="EE77" s="23" t="n">
        <f aca="false">EE75+EE76</f>
        <v>0</v>
      </c>
      <c r="EF77" s="23" t="n">
        <f aca="false">EF75+EF76</f>
        <v>0</v>
      </c>
      <c r="EG77" s="23" t="n">
        <f aca="false">EG75+EG76</f>
        <v>0</v>
      </c>
      <c r="EH77" s="23" t="n">
        <f aca="false">EH75+EH76</f>
        <v>0</v>
      </c>
      <c r="EI77" s="23" t="n">
        <f aca="false">EI75+EI76</f>
        <v>0</v>
      </c>
      <c r="EJ77" s="23" t="n">
        <f aca="false">EJ75+EJ76</f>
        <v>0</v>
      </c>
      <c r="EK77" s="23" t="n">
        <f aca="false">EK75+EK76</f>
        <v>0</v>
      </c>
      <c r="EL77" s="23" t="n">
        <f aca="false">EL75+EL76</f>
        <v>0</v>
      </c>
      <c r="EM77" s="23" t="n">
        <f aca="false">EM75+EM76</f>
        <v>0</v>
      </c>
      <c r="EN77" s="23" t="n">
        <f aca="false">EN75+EN76</f>
        <v>0</v>
      </c>
      <c r="EO77" s="23" t="n">
        <f aca="false">EO75+EO76</f>
        <v>0</v>
      </c>
      <c r="EP77" s="23" t="n">
        <f aca="false">EP75+EP76</f>
        <v>0</v>
      </c>
      <c r="EQ77" s="23" t="n">
        <f aca="false">EQ75+EQ76</f>
        <v>0</v>
      </c>
      <c r="ER77" s="23" t="n">
        <f aca="false">ER75+ER76</f>
        <v>0</v>
      </c>
      <c r="ES77" s="23" t="n">
        <f aca="false">ES75+ES76</f>
        <v>0</v>
      </c>
      <c r="ET77" s="23" t="n">
        <f aca="false">ET75+ET76</f>
        <v>0</v>
      </c>
      <c r="EU77" s="23" t="n">
        <f aca="false">EU75+EU76</f>
        <v>0</v>
      </c>
      <c r="EV77" s="23" t="n">
        <f aca="false">EV75+EV76</f>
        <v>0</v>
      </c>
      <c r="EW77" s="23" t="n">
        <f aca="false">EW75+EW76</f>
        <v>0</v>
      </c>
      <c r="EX77" s="23" t="n">
        <f aca="false">EX75+EX76</f>
        <v>0</v>
      </c>
      <c r="EY77" s="23" t="n">
        <f aca="false">EY75+EY76</f>
        <v>0</v>
      </c>
      <c r="EZ77" s="23" t="n">
        <f aca="false">EZ75+EZ76</f>
        <v>0</v>
      </c>
      <c r="FA77" s="23" t="n">
        <f aca="false">FA75+FA76</f>
        <v>0</v>
      </c>
      <c r="FB77" s="23" t="n">
        <f aca="false">FB75+FB76</f>
        <v>0</v>
      </c>
      <c r="FC77" s="23" t="n">
        <f aca="false">FC75+FC76</f>
        <v>0</v>
      </c>
      <c r="FD77" s="23" t="n">
        <f aca="false">FD75+FD76</f>
        <v>0</v>
      </c>
      <c r="FE77" s="23" t="n">
        <f aca="false">FE75+FE76</f>
        <v>0</v>
      </c>
      <c r="FF77" s="23" t="n">
        <f aca="false">FF75+FF76</f>
        <v>0</v>
      </c>
      <c r="FG77" s="23" t="n">
        <f aca="false">FG75+FG76</f>
        <v>0</v>
      </c>
      <c r="FH77" s="23" t="n">
        <f aca="false">FH75+FH76</f>
        <v>0</v>
      </c>
      <c r="FI77" s="23" t="n">
        <f aca="false">FI75+FI76</f>
        <v>0</v>
      </c>
      <c r="FJ77" s="23" t="n">
        <f aca="false">FJ75+FJ76</f>
        <v>0</v>
      </c>
      <c r="FK77" s="23" t="n">
        <f aca="false">FK75+FK76</f>
        <v>0</v>
      </c>
    </row>
    <row r="78" customFormat="false" ht="15" hidden="false" customHeight="true" outlineLevel="0" collapsed="false">
      <c r="D78" s="21" t="s">
        <v>112</v>
      </c>
      <c r="E78" s="7" t="s">
        <v>28</v>
      </c>
      <c r="F78" s="22" t="n">
        <f aca="false">SUM(H78:FK78)</f>
        <v>133725000</v>
      </c>
      <c r="H78" s="23" t="n">
        <f aca="false">MAX(0,H77*TaxRate)</f>
        <v>0</v>
      </c>
      <c r="I78" s="23" t="n">
        <f aca="false">MAX(0,I77*TaxRate)</f>
        <v>0</v>
      </c>
      <c r="J78" s="23" t="n">
        <f aca="false">MAX(0,J77*TaxRate)</f>
        <v>0</v>
      </c>
      <c r="K78" s="23" t="n">
        <f aca="false">MAX(0,K77*TaxRate)</f>
        <v>0</v>
      </c>
      <c r="L78" s="23" t="n">
        <f aca="false">MAX(0,L77*TaxRate)</f>
        <v>0</v>
      </c>
      <c r="M78" s="23" t="n">
        <f aca="false">MAX(0,M77*TaxRate)</f>
        <v>0</v>
      </c>
      <c r="N78" s="23" t="n">
        <f aca="false">MAX(0,N77*TaxRate)</f>
        <v>0</v>
      </c>
      <c r="O78" s="23" t="n">
        <f aca="false">MAX(0,O77*TaxRate)</f>
        <v>0</v>
      </c>
      <c r="P78" s="23" t="n">
        <f aca="false">MAX(0,P77*TaxRate)</f>
        <v>0</v>
      </c>
      <c r="Q78" s="23" t="n">
        <f aca="false">MAX(0,Q77*TaxRate)</f>
        <v>0</v>
      </c>
      <c r="R78" s="23" t="n">
        <f aca="false">MAX(0,R77*TaxRate)</f>
        <v>0</v>
      </c>
      <c r="S78" s="23" t="n">
        <f aca="false">MAX(0,S77*TaxRate)</f>
        <v>0</v>
      </c>
      <c r="T78" s="23" t="n">
        <f aca="false">MAX(0,T77*TaxRate)</f>
        <v>0</v>
      </c>
      <c r="U78" s="23" t="n">
        <f aca="false">MAX(0,U77*TaxRate)</f>
        <v>0</v>
      </c>
      <c r="V78" s="23" t="n">
        <f aca="false">MAX(0,V77*TaxRate)</f>
        <v>0</v>
      </c>
      <c r="W78" s="23" t="n">
        <f aca="false">MAX(0,W77*TaxRate)</f>
        <v>0</v>
      </c>
      <c r="X78" s="23" t="n">
        <f aca="false">MAX(0,X77*TaxRate)</f>
        <v>0</v>
      </c>
      <c r="Y78" s="23" t="n">
        <f aca="false">MAX(0,Y77*TaxRate)</f>
        <v>0</v>
      </c>
      <c r="Z78" s="23" t="n">
        <f aca="false">MAX(0,Z77*TaxRate)</f>
        <v>0</v>
      </c>
      <c r="AA78" s="23" t="n">
        <f aca="false">MAX(0,AA77*TaxRate)</f>
        <v>0</v>
      </c>
      <c r="AB78" s="23" t="n">
        <f aca="false">MAX(0,AB77*TaxRate)</f>
        <v>0</v>
      </c>
      <c r="AC78" s="23" t="n">
        <f aca="false">MAX(0,AC77*TaxRate)</f>
        <v>0</v>
      </c>
      <c r="AD78" s="23" t="n">
        <f aca="false">MAX(0,AD77*TaxRate)</f>
        <v>0</v>
      </c>
      <c r="AE78" s="23" t="n">
        <f aca="false">MAX(0,AE77*TaxRate)</f>
        <v>0</v>
      </c>
      <c r="AF78" s="23" t="n">
        <f aca="false">MAX(0,AF77*TaxRate)</f>
        <v>0</v>
      </c>
      <c r="AG78" s="23" t="n">
        <f aca="false">MAX(0,AG77*TaxRate)</f>
        <v>0</v>
      </c>
      <c r="AH78" s="23" t="n">
        <f aca="false">MAX(0,AH77*TaxRate)</f>
        <v>0</v>
      </c>
      <c r="AI78" s="23" t="n">
        <f aca="false">MAX(0,AI77*TaxRate)</f>
        <v>223125</v>
      </c>
      <c r="AJ78" s="23" t="n">
        <f aca="false">MAX(0,AJ77*TaxRate)</f>
        <v>420625</v>
      </c>
      <c r="AK78" s="23" t="n">
        <f aca="false">MAX(0,AK77*TaxRate)</f>
        <v>445937.5</v>
      </c>
      <c r="AL78" s="23" t="n">
        <f aca="false">MAX(0,AL77*TaxRate)</f>
        <v>471250</v>
      </c>
      <c r="AM78" s="23" t="n">
        <f aca="false">MAX(0,AM77*TaxRate)</f>
        <v>496562.5</v>
      </c>
      <c r="AN78" s="23" t="n">
        <f aca="false">MAX(0,AN77*TaxRate)</f>
        <v>521875</v>
      </c>
      <c r="AO78" s="23" t="n">
        <f aca="false">MAX(0,AO77*TaxRate)</f>
        <v>547187.5</v>
      </c>
      <c r="AP78" s="23" t="n">
        <f aca="false">MAX(0,AP77*TaxRate)</f>
        <v>572500</v>
      </c>
      <c r="AQ78" s="23" t="n">
        <f aca="false">MAX(0,AQ77*TaxRate)</f>
        <v>597812.5</v>
      </c>
      <c r="AR78" s="23" t="n">
        <f aca="false">MAX(0,AR77*TaxRate)</f>
        <v>623125</v>
      </c>
      <c r="AS78" s="23" t="n">
        <f aca="false">MAX(0,AS77*TaxRate)</f>
        <v>648437.5</v>
      </c>
      <c r="AT78" s="23" t="n">
        <f aca="false">MAX(0,AT77*TaxRate)</f>
        <v>673750</v>
      </c>
      <c r="AU78" s="23" t="n">
        <f aca="false">MAX(0,AU77*TaxRate)</f>
        <v>699062.5</v>
      </c>
      <c r="AV78" s="23" t="n">
        <f aca="false">MAX(0,AV77*TaxRate)</f>
        <v>724375</v>
      </c>
      <c r="AW78" s="23" t="n">
        <f aca="false">MAX(0,AW77*TaxRate)</f>
        <v>749687.5</v>
      </c>
      <c r="AX78" s="23" t="n">
        <f aca="false">MAX(0,AX77*TaxRate)</f>
        <v>775000</v>
      </c>
      <c r="AY78" s="23" t="n">
        <f aca="false">MAX(0,AY77*TaxRate)</f>
        <v>800312.5</v>
      </c>
      <c r="AZ78" s="23" t="n">
        <f aca="false">MAX(0,AZ77*TaxRate)</f>
        <v>825625</v>
      </c>
      <c r="BA78" s="23" t="n">
        <f aca="false">MAX(0,BA77*TaxRate)</f>
        <v>850937.5</v>
      </c>
      <c r="BB78" s="23" t="n">
        <f aca="false">MAX(0,BB77*TaxRate)</f>
        <v>876250</v>
      </c>
      <c r="BC78" s="23" t="n">
        <f aca="false">MAX(0,BC77*TaxRate)</f>
        <v>901562.5</v>
      </c>
      <c r="BD78" s="23" t="n">
        <f aca="false">MAX(0,BD77*TaxRate)</f>
        <v>926875</v>
      </c>
      <c r="BE78" s="23" t="n">
        <f aca="false">MAX(0,BE77*TaxRate)</f>
        <v>952187.5</v>
      </c>
      <c r="BF78" s="23" t="n">
        <f aca="false">MAX(0,BF77*TaxRate)</f>
        <v>977500</v>
      </c>
      <c r="BG78" s="23" t="n">
        <f aca="false">MAX(0,BG77*TaxRate)</f>
        <v>1002812.5</v>
      </c>
      <c r="BH78" s="23" t="n">
        <f aca="false">MAX(0,BH77*TaxRate)</f>
        <v>1028125</v>
      </c>
      <c r="BI78" s="23" t="n">
        <f aca="false">MAX(0,BI77*TaxRate)</f>
        <v>1053437.5</v>
      </c>
      <c r="BJ78" s="23" t="n">
        <f aca="false">MAX(0,BJ77*TaxRate)</f>
        <v>1078750</v>
      </c>
      <c r="BK78" s="23" t="n">
        <f aca="false">MAX(0,BK77*TaxRate)</f>
        <v>1104062.5</v>
      </c>
      <c r="BL78" s="23" t="n">
        <f aca="false">MAX(0,BL77*TaxRate)</f>
        <v>1129375</v>
      </c>
      <c r="BM78" s="23" t="n">
        <f aca="false">MAX(0,BM77*TaxRate)</f>
        <v>1154687.5</v>
      </c>
      <c r="BN78" s="23" t="n">
        <f aca="false">MAX(0,BN77*TaxRate)</f>
        <v>1180000</v>
      </c>
      <c r="BO78" s="23" t="n">
        <f aca="false">MAX(0,BO77*TaxRate)</f>
        <v>1205312.5</v>
      </c>
      <c r="BP78" s="23" t="n">
        <f aca="false">MAX(0,BP77*TaxRate)</f>
        <v>1230625</v>
      </c>
      <c r="BQ78" s="23" t="n">
        <f aca="false">MAX(0,BQ77*TaxRate)</f>
        <v>1255937.5</v>
      </c>
      <c r="BR78" s="23" t="n">
        <f aca="false">MAX(0,BR77*TaxRate)</f>
        <v>1281250</v>
      </c>
      <c r="BS78" s="23" t="n">
        <f aca="false">MAX(0,BS77*TaxRate)</f>
        <v>1306562.5</v>
      </c>
      <c r="BT78" s="23" t="n">
        <f aca="false">MAX(0,BT77*TaxRate)</f>
        <v>1331875</v>
      </c>
      <c r="BU78" s="23" t="n">
        <f aca="false">MAX(0,BU77*TaxRate)</f>
        <v>1331875</v>
      </c>
      <c r="BV78" s="23" t="n">
        <f aca="false">MAX(0,BV77*TaxRate)</f>
        <v>1331875</v>
      </c>
      <c r="BW78" s="23" t="n">
        <f aca="false">MAX(0,BW77*TaxRate)</f>
        <v>1331875</v>
      </c>
      <c r="BX78" s="23" t="n">
        <f aca="false">MAX(0,BX77*TaxRate)</f>
        <v>1331875</v>
      </c>
      <c r="BY78" s="23" t="n">
        <f aca="false">MAX(0,BY77*TaxRate)</f>
        <v>1331875</v>
      </c>
      <c r="BZ78" s="23" t="n">
        <f aca="false">MAX(0,BZ77*TaxRate)</f>
        <v>1331875</v>
      </c>
      <c r="CA78" s="23" t="n">
        <f aca="false">MAX(0,CA77*TaxRate)</f>
        <v>1331875</v>
      </c>
      <c r="CB78" s="23" t="n">
        <f aca="false">MAX(0,CB77*TaxRate)</f>
        <v>1331875</v>
      </c>
      <c r="CC78" s="23" t="n">
        <f aca="false">MAX(0,CC77*TaxRate)</f>
        <v>1331875</v>
      </c>
      <c r="CD78" s="23" t="n">
        <f aca="false">MAX(0,CD77*TaxRate)</f>
        <v>1331875</v>
      </c>
      <c r="CE78" s="23" t="n">
        <f aca="false">MAX(0,CE77*TaxRate)</f>
        <v>1331875</v>
      </c>
      <c r="CF78" s="23" t="n">
        <f aca="false">MAX(0,CF77*TaxRate)</f>
        <v>1331875</v>
      </c>
      <c r="CG78" s="23" t="n">
        <f aca="false">MAX(0,CG77*TaxRate)</f>
        <v>1331875</v>
      </c>
      <c r="CH78" s="23" t="n">
        <f aca="false">MAX(0,CH77*TaxRate)</f>
        <v>1331875</v>
      </c>
      <c r="CI78" s="23" t="n">
        <f aca="false">MAX(0,CI77*TaxRate)</f>
        <v>1331875</v>
      </c>
      <c r="CJ78" s="23" t="n">
        <f aca="false">MAX(0,CJ77*TaxRate)</f>
        <v>1331875</v>
      </c>
      <c r="CK78" s="23" t="n">
        <f aca="false">MAX(0,CK77*TaxRate)</f>
        <v>1331875</v>
      </c>
      <c r="CL78" s="23" t="n">
        <f aca="false">MAX(0,CL77*TaxRate)</f>
        <v>1331875</v>
      </c>
      <c r="CM78" s="23" t="n">
        <f aca="false">MAX(0,CM77*TaxRate)</f>
        <v>1331875</v>
      </c>
      <c r="CN78" s="23" t="n">
        <f aca="false">MAX(0,CN77*TaxRate)</f>
        <v>1331875</v>
      </c>
      <c r="CO78" s="23" t="n">
        <f aca="false">MAX(0,CO77*TaxRate)</f>
        <v>1331875</v>
      </c>
      <c r="CP78" s="23" t="n">
        <f aca="false">MAX(0,CP77*TaxRate)</f>
        <v>1331875</v>
      </c>
      <c r="CQ78" s="23" t="n">
        <f aca="false">MAX(0,CQ77*TaxRate)</f>
        <v>1331875</v>
      </c>
      <c r="CR78" s="23" t="n">
        <f aca="false">MAX(0,CR77*TaxRate)</f>
        <v>1331875</v>
      </c>
      <c r="CS78" s="23" t="n">
        <f aca="false">MAX(0,CS77*TaxRate)</f>
        <v>1331875</v>
      </c>
      <c r="CT78" s="23" t="n">
        <f aca="false">MAX(0,CT77*TaxRate)</f>
        <v>1331875</v>
      </c>
      <c r="CU78" s="23" t="n">
        <f aca="false">MAX(0,CU77*TaxRate)</f>
        <v>1331875</v>
      </c>
      <c r="CV78" s="23" t="n">
        <f aca="false">MAX(0,CV77*TaxRate)</f>
        <v>1331875</v>
      </c>
      <c r="CW78" s="23" t="n">
        <f aca="false">MAX(0,CW77*TaxRate)</f>
        <v>1331875</v>
      </c>
      <c r="CX78" s="23" t="n">
        <f aca="false">MAX(0,CX77*TaxRate)</f>
        <v>1331875</v>
      </c>
      <c r="CY78" s="23" t="n">
        <f aca="false">MAX(0,CY77*TaxRate)</f>
        <v>1331875</v>
      </c>
      <c r="CZ78" s="23" t="n">
        <f aca="false">MAX(0,CZ77*TaxRate)</f>
        <v>1331875</v>
      </c>
      <c r="DA78" s="23" t="n">
        <f aca="false">MAX(0,DA77*TaxRate)</f>
        <v>1331875</v>
      </c>
      <c r="DB78" s="23" t="n">
        <f aca="false">MAX(0,DB77*TaxRate)</f>
        <v>1331875</v>
      </c>
      <c r="DC78" s="23" t="n">
        <f aca="false">MAX(0,DC77*TaxRate)</f>
        <v>1331875</v>
      </c>
      <c r="DD78" s="23" t="n">
        <f aca="false">MAX(0,DD77*TaxRate)</f>
        <v>1331875</v>
      </c>
      <c r="DE78" s="23" t="n">
        <f aca="false">MAX(0,DE77*TaxRate)</f>
        <v>1331875</v>
      </c>
      <c r="DF78" s="23" t="n">
        <f aca="false">MAX(0,DF77*TaxRate)</f>
        <v>1331875</v>
      </c>
      <c r="DG78" s="23" t="n">
        <f aca="false">MAX(0,DG77*TaxRate)</f>
        <v>1331875</v>
      </c>
      <c r="DH78" s="23" t="n">
        <f aca="false">MAX(0,DH77*TaxRate)</f>
        <v>2456875</v>
      </c>
      <c r="DI78" s="23" t="n">
        <f aca="false">MAX(0,DI77*TaxRate)</f>
        <v>2456875</v>
      </c>
      <c r="DJ78" s="23" t="n">
        <f aca="false">MAX(0,DJ77*TaxRate)</f>
        <v>2456875</v>
      </c>
      <c r="DK78" s="23" t="n">
        <f aca="false">MAX(0,DK77*TaxRate)</f>
        <v>2456875</v>
      </c>
      <c r="DL78" s="23" t="n">
        <f aca="false">MAX(0,DL77*TaxRate)</f>
        <v>2456875</v>
      </c>
      <c r="DM78" s="23" t="n">
        <f aca="false">MAX(0,DM77*TaxRate)</f>
        <v>2456875</v>
      </c>
      <c r="DN78" s="23" t="n">
        <f aca="false">MAX(0,DN77*TaxRate)</f>
        <v>2456875</v>
      </c>
      <c r="DO78" s="23" t="n">
        <f aca="false">MAX(0,DO77*TaxRate)</f>
        <v>2456875</v>
      </c>
      <c r="DP78" s="23" t="n">
        <f aca="false">MAX(0,DP77*TaxRate)</f>
        <v>2456875</v>
      </c>
      <c r="DQ78" s="23" t="n">
        <f aca="false">MAX(0,DQ77*TaxRate)</f>
        <v>2456875</v>
      </c>
      <c r="DR78" s="23" t="n">
        <f aca="false">MAX(0,DR77*TaxRate)</f>
        <v>2456875</v>
      </c>
      <c r="DS78" s="23" t="n">
        <f aca="false">MAX(0,DS77*TaxRate)</f>
        <v>2456875</v>
      </c>
      <c r="DT78" s="23" t="n">
        <f aca="false">MAX(0,DT77*TaxRate)</f>
        <v>2456875</v>
      </c>
      <c r="DU78" s="23" t="n">
        <f aca="false">MAX(0,DU77*TaxRate)</f>
        <v>2456875</v>
      </c>
      <c r="DV78" s="23" t="n">
        <f aca="false">MAX(0,DV77*TaxRate)</f>
        <v>2456875</v>
      </c>
      <c r="DW78" s="23" t="n">
        <f aca="false">MAX(0,DW77*TaxRate)</f>
        <v>2456875</v>
      </c>
      <c r="DX78" s="23" t="n">
        <f aca="false">MAX(0,DX77*TaxRate)</f>
        <v>2456875</v>
      </c>
      <c r="DY78" s="23" t="n">
        <f aca="false">MAX(0,DY77*TaxRate)</f>
        <v>2456875</v>
      </c>
      <c r="DZ78" s="23" t="n">
        <f aca="false">MAX(0,DZ77*TaxRate)</f>
        <v>2456875</v>
      </c>
      <c r="EA78" s="23" t="n">
        <f aca="false">MAX(0,EA77*TaxRate)</f>
        <v>2456875</v>
      </c>
      <c r="EB78" s="23" t="n">
        <f aca="false">MAX(0,EB77*TaxRate)</f>
        <v>0</v>
      </c>
      <c r="EC78" s="23" t="n">
        <f aca="false">MAX(0,EC77*TaxRate)</f>
        <v>0</v>
      </c>
      <c r="ED78" s="23" t="n">
        <f aca="false">MAX(0,ED77*TaxRate)</f>
        <v>0</v>
      </c>
      <c r="EE78" s="23" t="n">
        <f aca="false">MAX(0,EE77*TaxRate)</f>
        <v>0</v>
      </c>
      <c r="EF78" s="23" t="n">
        <f aca="false">MAX(0,EF77*TaxRate)</f>
        <v>0</v>
      </c>
      <c r="EG78" s="23" t="n">
        <f aca="false">MAX(0,EG77*TaxRate)</f>
        <v>0</v>
      </c>
      <c r="EH78" s="23" t="n">
        <f aca="false">MAX(0,EH77*TaxRate)</f>
        <v>0</v>
      </c>
      <c r="EI78" s="23" t="n">
        <f aca="false">MAX(0,EI77*TaxRate)</f>
        <v>0</v>
      </c>
      <c r="EJ78" s="23" t="n">
        <f aca="false">MAX(0,EJ77*TaxRate)</f>
        <v>0</v>
      </c>
      <c r="EK78" s="23" t="n">
        <f aca="false">MAX(0,EK77*TaxRate)</f>
        <v>0</v>
      </c>
      <c r="EL78" s="23" t="n">
        <f aca="false">MAX(0,EL77*TaxRate)</f>
        <v>0</v>
      </c>
      <c r="EM78" s="23" t="n">
        <f aca="false">MAX(0,EM77*TaxRate)</f>
        <v>0</v>
      </c>
      <c r="EN78" s="23" t="n">
        <f aca="false">MAX(0,EN77*TaxRate)</f>
        <v>0</v>
      </c>
      <c r="EO78" s="23" t="n">
        <f aca="false">MAX(0,EO77*TaxRate)</f>
        <v>0</v>
      </c>
      <c r="EP78" s="23" t="n">
        <f aca="false">MAX(0,EP77*TaxRate)</f>
        <v>0</v>
      </c>
      <c r="EQ78" s="23" t="n">
        <f aca="false">MAX(0,EQ77*TaxRate)</f>
        <v>0</v>
      </c>
      <c r="ER78" s="23" t="n">
        <f aca="false">MAX(0,ER77*TaxRate)</f>
        <v>0</v>
      </c>
      <c r="ES78" s="23" t="n">
        <f aca="false">MAX(0,ES77*TaxRate)</f>
        <v>0</v>
      </c>
      <c r="ET78" s="23" t="n">
        <f aca="false">MAX(0,ET77*TaxRate)</f>
        <v>0</v>
      </c>
      <c r="EU78" s="23" t="n">
        <f aca="false">MAX(0,EU77*TaxRate)</f>
        <v>0</v>
      </c>
      <c r="EV78" s="23" t="n">
        <f aca="false">MAX(0,EV77*TaxRate)</f>
        <v>0</v>
      </c>
      <c r="EW78" s="23" t="n">
        <f aca="false">MAX(0,EW77*TaxRate)</f>
        <v>0</v>
      </c>
      <c r="EX78" s="23" t="n">
        <f aca="false">MAX(0,EX77*TaxRate)</f>
        <v>0</v>
      </c>
      <c r="EY78" s="23" t="n">
        <f aca="false">MAX(0,EY77*TaxRate)</f>
        <v>0</v>
      </c>
      <c r="EZ78" s="23" t="n">
        <f aca="false">MAX(0,EZ77*TaxRate)</f>
        <v>0</v>
      </c>
      <c r="FA78" s="23" t="n">
        <f aca="false">MAX(0,FA77*TaxRate)</f>
        <v>0</v>
      </c>
      <c r="FB78" s="23" t="n">
        <f aca="false">MAX(0,FB77*TaxRate)</f>
        <v>0</v>
      </c>
      <c r="FC78" s="23" t="n">
        <f aca="false">MAX(0,FC77*TaxRate)</f>
        <v>0</v>
      </c>
      <c r="FD78" s="23" t="n">
        <f aca="false">MAX(0,FD77*TaxRate)</f>
        <v>0</v>
      </c>
      <c r="FE78" s="23" t="n">
        <f aca="false">MAX(0,FE77*TaxRate)</f>
        <v>0</v>
      </c>
      <c r="FF78" s="23" t="n">
        <f aca="false">MAX(0,FF77*TaxRate)</f>
        <v>0</v>
      </c>
      <c r="FG78" s="23" t="n">
        <f aca="false">MAX(0,FG77*TaxRate)</f>
        <v>0</v>
      </c>
      <c r="FH78" s="23" t="n">
        <f aca="false">MAX(0,FH77*TaxRate)</f>
        <v>0</v>
      </c>
      <c r="FI78" s="23" t="n">
        <f aca="false">MAX(0,FI77*TaxRate)</f>
        <v>0</v>
      </c>
      <c r="FJ78" s="23" t="n">
        <f aca="false">MAX(0,FJ77*TaxRate)</f>
        <v>0</v>
      </c>
      <c r="FK78" s="23" t="n">
        <f aca="false">MAX(0,FK77*TaxRate)</f>
        <v>0</v>
      </c>
    </row>
    <row r="79" customFormat="false" ht="15" hidden="false" customHeight="true" outlineLevel="0" collapsed="false">
      <c r="D79" s="21" t="s">
        <v>113</v>
      </c>
      <c r="E79" s="7" t="s">
        <v>28</v>
      </c>
      <c r="F79" s="22"/>
      <c r="H79" s="23" t="n">
        <f aca="false">MIN(0,H77)</f>
        <v>0</v>
      </c>
      <c r="I79" s="23" t="n">
        <f aca="false">MIN(0,I77)</f>
        <v>-1518750</v>
      </c>
      <c r="J79" s="23" t="n">
        <f aca="false">MIN(0,J77)</f>
        <v>-4556250</v>
      </c>
      <c r="K79" s="23" t="n">
        <f aca="false">MIN(0,K77)</f>
        <v>-9112500</v>
      </c>
      <c r="L79" s="23" t="n">
        <f aca="false">MIN(0,L77)</f>
        <v>-9860000</v>
      </c>
      <c r="M79" s="23" t="n">
        <f aca="false">MIN(0,M77)</f>
        <v>-10506250</v>
      </c>
      <c r="N79" s="23" t="n">
        <f aca="false">MIN(0,N77)</f>
        <v>-11051250</v>
      </c>
      <c r="O79" s="23" t="n">
        <f aca="false">MIN(0,O77)</f>
        <v>-11495000</v>
      </c>
      <c r="P79" s="23" t="n">
        <f aca="false">MIN(0,P77)</f>
        <v>-11837500</v>
      </c>
      <c r="Q79" s="23" t="n">
        <f aca="false">MIN(0,Q77)</f>
        <v>-12078750</v>
      </c>
      <c r="R79" s="23" t="n">
        <f aca="false">MIN(0,R77)</f>
        <v>-12218750</v>
      </c>
      <c r="S79" s="23" t="n">
        <f aca="false">MIN(0,S77)</f>
        <v>-12257500</v>
      </c>
      <c r="T79" s="23" t="n">
        <f aca="false">MIN(0,T77)</f>
        <v>-12195000</v>
      </c>
      <c r="U79" s="23" t="n">
        <f aca="false">MIN(0,U77)</f>
        <v>-12031250</v>
      </c>
      <c r="V79" s="23" t="n">
        <f aca="false">MIN(0,V77)</f>
        <v>-11766250</v>
      </c>
      <c r="W79" s="23" t="n">
        <f aca="false">MIN(0,W77)</f>
        <v>-11400000</v>
      </c>
      <c r="X79" s="23" t="n">
        <f aca="false">MIN(0,X77)</f>
        <v>-10932500</v>
      </c>
      <c r="Y79" s="23" t="n">
        <f aca="false">MIN(0,Y77)</f>
        <v>-10363750</v>
      </c>
      <c r="Z79" s="23" t="n">
        <f aca="false">MIN(0,Z77)</f>
        <v>-9693750</v>
      </c>
      <c r="AA79" s="23" t="n">
        <f aca="false">MIN(0,AA77)</f>
        <v>-8922500</v>
      </c>
      <c r="AB79" s="23" t="n">
        <f aca="false">MIN(0,AB77)</f>
        <v>-8050000</v>
      </c>
      <c r="AC79" s="23" t="n">
        <f aca="false">MIN(0,AC77)</f>
        <v>-7076250</v>
      </c>
      <c r="AD79" s="23" t="n">
        <f aca="false">MIN(0,AD77)</f>
        <v>-6001250</v>
      </c>
      <c r="AE79" s="23" t="n">
        <f aca="false">MIN(0,AE77)</f>
        <v>-4825000</v>
      </c>
      <c r="AF79" s="23" t="n">
        <f aca="false">MIN(0,AF77)</f>
        <v>-3547500</v>
      </c>
      <c r="AG79" s="23" t="n">
        <f aca="false">MIN(0,AG77)</f>
        <v>-2168750</v>
      </c>
      <c r="AH79" s="23" t="n">
        <f aca="false">MIN(0,AH77)</f>
        <v>-688750</v>
      </c>
      <c r="AI79" s="23" t="n">
        <f aca="false">MIN(0,AI77)</f>
        <v>0</v>
      </c>
      <c r="AJ79" s="23" t="n">
        <f aca="false">MIN(0,AJ77)</f>
        <v>0</v>
      </c>
      <c r="AK79" s="23" t="n">
        <f aca="false">MIN(0,AK77)</f>
        <v>0</v>
      </c>
      <c r="AL79" s="23" t="n">
        <f aca="false">MIN(0,AL77)</f>
        <v>0</v>
      </c>
      <c r="AM79" s="23" t="n">
        <f aca="false">MIN(0,AM77)</f>
        <v>0</v>
      </c>
      <c r="AN79" s="23" t="n">
        <f aca="false">MIN(0,AN77)</f>
        <v>0</v>
      </c>
      <c r="AO79" s="23" t="n">
        <f aca="false">MIN(0,AO77)</f>
        <v>0</v>
      </c>
      <c r="AP79" s="23" t="n">
        <f aca="false">MIN(0,AP77)</f>
        <v>0</v>
      </c>
      <c r="AQ79" s="23" t="n">
        <f aca="false">MIN(0,AQ77)</f>
        <v>0</v>
      </c>
      <c r="AR79" s="23" t="n">
        <f aca="false">MIN(0,AR77)</f>
        <v>0</v>
      </c>
      <c r="AS79" s="23" t="n">
        <f aca="false">MIN(0,AS77)</f>
        <v>0</v>
      </c>
      <c r="AT79" s="23" t="n">
        <f aca="false">MIN(0,AT77)</f>
        <v>0</v>
      </c>
      <c r="AU79" s="23" t="n">
        <f aca="false">MIN(0,AU77)</f>
        <v>0</v>
      </c>
      <c r="AV79" s="23" t="n">
        <f aca="false">MIN(0,AV77)</f>
        <v>0</v>
      </c>
      <c r="AW79" s="23" t="n">
        <f aca="false">MIN(0,AW77)</f>
        <v>0</v>
      </c>
      <c r="AX79" s="23" t="n">
        <f aca="false">MIN(0,AX77)</f>
        <v>0</v>
      </c>
      <c r="AY79" s="23" t="n">
        <f aca="false">MIN(0,AY77)</f>
        <v>0</v>
      </c>
      <c r="AZ79" s="23" t="n">
        <f aca="false">MIN(0,AZ77)</f>
        <v>0</v>
      </c>
      <c r="BA79" s="23" t="n">
        <f aca="false">MIN(0,BA77)</f>
        <v>0</v>
      </c>
      <c r="BB79" s="23" t="n">
        <f aca="false">MIN(0,BB77)</f>
        <v>0</v>
      </c>
      <c r="BC79" s="23" t="n">
        <f aca="false">MIN(0,BC77)</f>
        <v>0</v>
      </c>
      <c r="BD79" s="23" t="n">
        <f aca="false">MIN(0,BD77)</f>
        <v>0</v>
      </c>
      <c r="BE79" s="23" t="n">
        <f aca="false">MIN(0,BE77)</f>
        <v>0</v>
      </c>
      <c r="BF79" s="23" t="n">
        <f aca="false">MIN(0,BF77)</f>
        <v>0</v>
      </c>
      <c r="BG79" s="23" t="n">
        <f aca="false">MIN(0,BG77)</f>
        <v>0</v>
      </c>
      <c r="BH79" s="23" t="n">
        <f aca="false">MIN(0,BH77)</f>
        <v>0</v>
      </c>
      <c r="BI79" s="23" t="n">
        <f aca="false">MIN(0,BI77)</f>
        <v>0</v>
      </c>
      <c r="BJ79" s="23" t="n">
        <f aca="false">MIN(0,BJ77)</f>
        <v>0</v>
      </c>
      <c r="BK79" s="23" t="n">
        <f aca="false">MIN(0,BK77)</f>
        <v>0</v>
      </c>
      <c r="BL79" s="23" t="n">
        <f aca="false">MIN(0,BL77)</f>
        <v>0</v>
      </c>
      <c r="BM79" s="23" t="n">
        <f aca="false">MIN(0,BM77)</f>
        <v>0</v>
      </c>
      <c r="BN79" s="23" t="n">
        <f aca="false">MIN(0,BN77)</f>
        <v>0</v>
      </c>
      <c r="BO79" s="23" t="n">
        <f aca="false">MIN(0,BO77)</f>
        <v>0</v>
      </c>
      <c r="BP79" s="23" t="n">
        <f aca="false">MIN(0,BP77)</f>
        <v>0</v>
      </c>
      <c r="BQ79" s="23" t="n">
        <f aca="false">MIN(0,BQ77)</f>
        <v>0</v>
      </c>
      <c r="BR79" s="23" t="n">
        <f aca="false">MIN(0,BR77)</f>
        <v>0</v>
      </c>
      <c r="BS79" s="23" t="n">
        <f aca="false">MIN(0,BS77)</f>
        <v>0</v>
      </c>
      <c r="BT79" s="23" t="n">
        <f aca="false">MIN(0,BT77)</f>
        <v>0</v>
      </c>
      <c r="BU79" s="23" t="n">
        <f aca="false">MIN(0,BU77)</f>
        <v>0</v>
      </c>
      <c r="BV79" s="23" t="n">
        <f aca="false">MIN(0,BV77)</f>
        <v>0</v>
      </c>
      <c r="BW79" s="23" t="n">
        <f aca="false">MIN(0,BW77)</f>
        <v>0</v>
      </c>
      <c r="BX79" s="23" t="n">
        <f aca="false">MIN(0,BX77)</f>
        <v>0</v>
      </c>
      <c r="BY79" s="23" t="n">
        <f aca="false">MIN(0,BY77)</f>
        <v>0</v>
      </c>
      <c r="BZ79" s="23" t="n">
        <f aca="false">MIN(0,BZ77)</f>
        <v>0</v>
      </c>
      <c r="CA79" s="23" t="n">
        <f aca="false">MIN(0,CA77)</f>
        <v>0</v>
      </c>
      <c r="CB79" s="23" t="n">
        <f aca="false">MIN(0,CB77)</f>
        <v>0</v>
      </c>
      <c r="CC79" s="23" t="n">
        <f aca="false">MIN(0,CC77)</f>
        <v>0</v>
      </c>
      <c r="CD79" s="23" t="n">
        <f aca="false">MIN(0,CD77)</f>
        <v>0</v>
      </c>
      <c r="CE79" s="23" t="n">
        <f aca="false">MIN(0,CE77)</f>
        <v>0</v>
      </c>
      <c r="CF79" s="23" t="n">
        <f aca="false">MIN(0,CF77)</f>
        <v>0</v>
      </c>
      <c r="CG79" s="23" t="n">
        <f aca="false">MIN(0,CG77)</f>
        <v>0</v>
      </c>
      <c r="CH79" s="23" t="n">
        <f aca="false">MIN(0,CH77)</f>
        <v>0</v>
      </c>
      <c r="CI79" s="23" t="n">
        <f aca="false">MIN(0,CI77)</f>
        <v>0</v>
      </c>
      <c r="CJ79" s="23" t="n">
        <f aca="false">MIN(0,CJ77)</f>
        <v>0</v>
      </c>
      <c r="CK79" s="23" t="n">
        <f aca="false">MIN(0,CK77)</f>
        <v>0</v>
      </c>
      <c r="CL79" s="23" t="n">
        <f aca="false">MIN(0,CL77)</f>
        <v>0</v>
      </c>
      <c r="CM79" s="23" t="n">
        <f aca="false">MIN(0,CM77)</f>
        <v>0</v>
      </c>
      <c r="CN79" s="23" t="n">
        <f aca="false">MIN(0,CN77)</f>
        <v>0</v>
      </c>
      <c r="CO79" s="23" t="n">
        <f aca="false">MIN(0,CO77)</f>
        <v>0</v>
      </c>
      <c r="CP79" s="23" t="n">
        <f aca="false">MIN(0,CP77)</f>
        <v>0</v>
      </c>
      <c r="CQ79" s="23" t="n">
        <f aca="false">MIN(0,CQ77)</f>
        <v>0</v>
      </c>
      <c r="CR79" s="23" t="n">
        <f aca="false">MIN(0,CR77)</f>
        <v>0</v>
      </c>
      <c r="CS79" s="23" t="n">
        <f aca="false">MIN(0,CS77)</f>
        <v>0</v>
      </c>
      <c r="CT79" s="23" t="n">
        <f aca="false">MIN(0,CT77)</f>
        <v>0</v>
      </c>
      <c r="CU79" s="23" t="n">
        <f aca="false">MIN(0,CU77)</f>
        <v>0</v>
      </c>
      <c r="CV79" s="23" t="n">
        <f aca="false">MIN(0,CV77)</f>
        <v>0</v>
      </c>
      <c r="CW79" s="23" t="n">
        <f aca="false">MIN(0,CW77)</f>
        <v>0</v>
      </c>
      <c r="CX79" s="23" t="n">
        <f aca="false">MIN(0,CX77)</f>
        <v>0</v>
      </c>
      <c r="CY79" s="23" t="n">
        <f aca="false">MIN(0,CY77)</f>
        <v>0</v>
      </c>
      <c r="CZ79" s="23" t="n">
        <f aca="false">MIN(0,CZ77)</f>
        <v>0</v>
      </c>
      <c r="DA79" s="23" t="n">
        <f aca="false">MIN(0,DA77)</f>
        <v>0</v>
      </c>
      <c r="DB79" s="23" t="n">
        <f aca="false">MIN(0,DB77)</f>
        <v>0</v>
      </c>
      <c r="DC79" s="23" t="n">
        <f aca="false">MIN(0,DC77)</f>
        <v>0</v>
      </c>
      <c r="DD79" s="23" t="n">
        <f aca="false">MIN(0,DD77)</f>
        <v>0</v>
      </c>
      <c r="DE79" s="23" t="n">
        <f aca="false">MIN(0,DE77)</f>
        <v>0</v>
      </c>
      <c r="DF79" s="23" t="n">
        <f aca="false">MIN(0,DF77)</f>
        <v>0</v>
      </c>
      <c r="DG79" s="23" t="n">
        <f aca="false">MIN(0,DG77)</f>
        <v>0</v>
      </c>
      <c r="DH79" s="23" t="n">
        <f aca="false">MIN(0,DH77)</f>
        <v>0</v>
      </c>
      <c r="DI79" s="23" t="n">
        <f aca="false">MIN(0,DI77)</f>
        <v>0</v>
      </c>
      <c r="DJ79" s="23" t="n">
        <f aca="false">MIN(0,DJ77)</f>
        <v>0</v>
      </c>
      <c r="DK79" s="23" t="n">
        <f aca="false">MIN(0,DK77)</f>
        <v>0</v>
      </c>
      <c r="DL79" s="23" t="n">
        <f aca="false">MIN(0,DL77)</f>
        <v>0</v>
      </c>
      <c r="DM79" s="23" t="n">
        <f aca="false">MIN(0,DM77)</f>
        <v>0</v>
      </c>
      <c r="DN79" s="23" t="n">
        <f aca="false">MIN(0,DN77)</f>
        <v>0</v>
      </c>
      <c r="DO79" s="23" t="n">
        <f aca="false">MIN(0,DO77)</f>
        <v>0</v>
      </c>
      <c r="DP79" s="23" t="n">
        <f aca="false">MIN(0,DP77)</f>
        <v>0</v>
      </c>
      <c r="DQ79" s="23" t="n">
        <f aca="false">MIN(0,DQ77)</f>
        <v>0</v>
      </c>
      <c r="DR79" s="23" t="n">
        <f aca="false">MIN(0,DR77)</f>
        <v>0</v>
      </c>
      <c r="DS79" s="23" t="n">
        <f aca="false">MIN(0,DS77)</f>
        <v>0</v>
      </c>
      <c r="DT79" s="23" t="n">
        <f aca="false">MIN(0,DT77)</f>
        <v>0</v>
      </c>
      <c r="DU79" s="23" t="n">
        <f aca="false">MIN(0,DU77)</f>
        <v>0</v>
      </c>
      <c r="DV79" s="23" t="n">
        <f aca="false">MIN(0,DV77)</f>
        <v>0</v>
      </c>
      <c r="DW79" s="23" t="n">
        <f aca="false">MIN(0,DW77)</f>
        <v>0</v>
      </c>
      <c r="DX79" s="23" t="n">
        <f aca="false">MIN(0,DX77)</f>
        <v>0</v>
      </c>
      <c r="DY79" s="23" t="n">
        <f aca="false">MIN(0,DY77)</f>
        <v>0</v>
      </c>
      <c r="DZ79" s="23" t="n">
        <f aca="false">MIN(0,DZ77)</f>
        <v>0</v>
      </c>
      <c r="EA79" s="23" t="n">
        <f aca="false">MIN(0,EA77)</f>
        <v>0</v>
      </c>
      <c r="EB79" s="23" t="n">
        <f aca="false">MIN(0,EB77)</f>
        <v>0</v>
      </c>
      <c r="EC79" s="23" t="n">
        <f aca="false">MIN(0,EC77)</f>
        <v>0</v>
      </c>
      <c r="ED79" s="23" t="n">
        <f aca="false">MIN(0,ED77)</f>
        <v>0</v>
      </c>
      <c r="EE79" s="23" t="n">
        <f aca="false">MIN(0,EE77)</f>
        <v>0</v>
      </c>
      <c r="EF79" s="23" t="n">
        <f aca="false">MIN(0,EF77)</f>
        <v>0</v>
      </c>
      <c r="EG79" s="23" t="n">
        <f aca="false">MIN(0,EG77)</f>
        <v>0</v>
      </c>
      <c r="EH79" s="23" t="n">
        <f aca="false">MIN(0,EH77)</f>
        <v>0</v>
      </c>
      <c r="EI79" s="23" t="n">
        <f aca="false">MIN(0,EI77)</f>
        <v>0</v>
      </c>
      <c r="EJ79" s="23" t="n">
        <f aca="false">MIN(0,EJ77)</f>
        <v>0</v>
      </c>
      <c r="EK79" s="23" t="n">
        <f aca="false">MIN(0,EK77)</f>
        <v>0</v>
      </c>
      <c r="EL79" s="23" t="n">
        <f aca="false">MIN(0,EL77)</f>
        <v>0</v>
      </c>
      <c r="EM79" s="23" t="n">
        <f aca="false">MIN(0,EM77)</f>
        <v>0</v>
      </c>
      <c r="EN79" s="23" t="n">
        <f aca="false">MIN(0,EN77)</f>
        <v>0</v>
      </c>
      <c r="EO79" s="23" t="n">
        <f aca="false">MIN(0,EO77)</f>
        <v>0</v>
      </c>
      <c r="EP79" s="23" t="n">
        <f aca="false">MIN(0,EP77)</f>
        <v>0</v>
      </c>
      <c r="EQ79" s="23" t="n">
        <f aca="false">MIN(0,EQ77)</f>
        <v>0</v>
      </c>
      <c r="ER79" s="23" t="n">
        <f aca="false">MIN(0,ER77)</f>
        <v>0</v>
      </c>
      <c r="ES79" s="23" t="n">
        <f aca="false">MIN(0,ES77)</f>
        <v>0</v>
      </c>
      <c r="ET79" s="23" t="n">
        <f aca="false">MIN(0,ET77)</f>
        <v>0</v>
      </c>
      <c r="EU79" s="23" t="n">
        <f aca="false">MIN(0,EU77)</f>
        <v>0</v>
      </c>
      <c r="EV79" s="23" t="n">
        <f aca="false">MIN(0,EV77)</f>
        <v>0</v>
      </c>
      <c r="EW79" s="23" t="n">
        <f aca="false">MIN(0,EW77)</f>
        <v>0</v>
      </c>
      <c r="EX79" s="23" t="n">
        <f aca="false">MIN(0,EX77)</f>
        <v>0</v>
      </c>
      <c r="EY79" s="23" t="n">
        <f aca="false">MIN(0,EY77)</f>
        <v>0</v>
      </c>
      <c r="EZ79" s="23" t="n">
        <f aca="false">MIN(0,EZ77)</f>
        <v>0</v>
      </c>
      <c r="FA79" s="23" t="n">
        <f aca="false">MIN(0,FA77)</f>
        <v>0</v>
      </c>
      <c r="FB79" s="23" t="n">
        <f aca="false">MIN(0,FB77)</f>
        <v>0</v>
      </c>
      <c r="FC79" s="23" t="n">
        <f aca="false">MIN(0,FC77)</f>
        <v>0</v>
      </c>
      <c r="FD79" s="23" t="n">
        <f aca="false">MIN(0,FD77)</f>
        <v>0</v>
      </c>
      <c r="FE79" s="23" t="n">
        <f aca="false">MIN(0,FE77)</f>
        <v>0</v>
      </c>
      <c r="FF79" s="23" t="n">
        <f aca="false">MIN(0,FF77)</f>
        <v>0</v>
      </c>
      <c r="FG79" s="23" t="n">
        <f aca="false">MIN(0,FG77)</f>
        <v>0</v>
      </c>
      <c r="FH79" s="23" t="n">
        <f aca="false">MIN(0,FH77)</f>
        <v>0</v>
      </c>
      <c r="FI79" s="23" t="n">
        <f aca="false">MIN(0,FI77)</f>
        <v>0</v>
      </c>
      <c r="FJ79" s="23" t="n">
        <f aca="false">MIN(0,FJ77)</f>
        <v>0</v>
      </c>
      <c r="FK79" s="23" t="n">
        <f aca="false">MIN(0,FK77)</f>
        <v>0</v>
      </c>
    </row>
    <row r="80" customFormat="false" ht="15" hidden="false" customHeight="true" outlineLevel="0" collapsed="false">
      <c r="E80" s="7"/>
      <c r="F80" s="22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</row>
    <row r="81" customFormat="false" ht="15" hidden="false" customHeight="false" outlineLevel="0" collapsed="false">
      <c r="D81" s="20" t="s">
        <v>115</v>
      </c>
    </row>
    <row r="82" customFormat="false" ht="15" hidden="false" customHeight="true" outlineLevel="0" collapsed="false">
      <c r="D82" s="26" t="s">
        <v>116</v>
      </c>
      <c r="E82" s="7" t="s">
        <v>28</v>
      </c>
      <c r="F82" s="22" t="n">
        <f aca="false">SUM(H82:FK82)</f>
        <v>-1029825000</v>
      </c>
      <c r="H82" s="23" t="n">
        <f aca="false">H25+H34-H71</f>
        <v>-112500000</v>
      </c>
      <c r="I82" s="23" t="n">
        <f aca="false">I25+I34-I71</f>
        <v>-112500000</v>
      </c>
      <c r="J82" s="23" t="n">
        <f aca="false">J25+J34-J71</f>
        <v>-112500000</v>
      </c>
      <c r="K82" s="23" t="n">
        <f aca="false">K25+K34-K71</f>
        <v>-112500000</v>
      </c>
      <c r="L82" s="23" t="n">
        <f aca="false">L25+L34-L71</f>
        <v>-4644375</v>
      </c>
      <c r="M82" s="23" t="n">
        <f aca="false">M25+M34-M71</f>
        <v>-4644375</v>
      </c>
      <c r="N82" s="23" t="n">
        <f aca="false">N25+N34-N71</f>
        <v>-4644375</v>
      </c>
      <c r="O82" s="23" t="n">
        <f aca="false">O25+O34-O71</f>
        <v>-4644375</v>
      </c>
      <c r="P82" s="23" t="n">
        <f aca="false">P25+P34-P71</f>
        <v>-4644375</v>
      </c>
      <c r="Q82" s="23" t="n">
        <f aca="false">Q25+Q34-Q71</f>
        <v>-4644375</v>
      </c>
      <c r="R82" s="23" t="n">
        <f aca="false">R25+R34-R71</f>
        <v>-4644375</v>
      </c>
      <c r="S82" s="23" t="n">
        <f aca="false">S25+S34-S71</f>
        <v>-4644375</v>
      </c>
      <c r="T82" s="23" t="n">
        <f aca="false">T25+T34-T71</f>
        <v>-4644375</v>
      </c>
      <c r="U82" s="23" t="n">
        <f aca="false">U25+U34-U71</f>
        <v>-4644375</v>
      </c>
      <c r="V82" s="23" t="n">
        <f aca="false">V25+V34-V71</f>
        <v>-4644375</v>
      </c>
      <c r="W82" s="23" t="n">
        <f aca="false">W25+W34-W71</f>
        <v>-4644375</v>
      </c>
      <c r="X82" s="23" t="n">
        <f aca="false">X25+X34-X71</f>
        <v>-4644375</v>
      </c>
      <c r="Y82" s="23" t="n">
        <f aca="false">Y25+Y34-Y71</f>
        <v>-4644375</v>
      </c>
      <c r="Z82" s="23" t="n">
        <f aca="false">Z25+Z34-Z71</f>
        <v>-4644375</v>
      </c>
      <c r="AA82" s="23" t="n">
        <f aca="false">AA25+AA34-AA71</f>
        <v>-4644375</v>
      </c>
      <c r="AB82" s="23" t="n">
        <f aca="false">AB25+AB34-AB71</f>
        <v>-4644375</v>
      </c>
      <c r="AC82" s="23" t="n">
        <f aca="false">AC25+AC34-AC71</f>
        <v>-4644375</v>
      </c>
      <c r="AD82" s="23" t="n">
        <f aca="false">AD25+AD34-AD71</f>
        <v>-4644375</v>
      </c>
      <c r="AE82" s="23" t="n">
        <f aca="false">AE25+AE34-AE71</f>
        <v>-4644375</v>
      </c>
      <c r="AF82" s="23" t="n">
        <f aca="false">AF25+AF34-AF71</f>
        <v>-4644375</v>
      </c>
      <c r="AG82" s="23" t="n">
        <f aca="false">AG25+AG34-AG71</f>
        <v>-4644375</v>
      </c>
      <c r="AH82" s="23" t="n">
        <f aca="false">AH25+AH34-AH71</f>
        <v>-4644375</v>
      </c>
      <c r="AI82" s="23" t="n">
        <f aca="false">AI25+AI34-AI71</f>
        <v>-4644375</v>
      </c>
      <c r="AJ82" s="23" t="n">
        <f aca="false">AJ25+AJ34-AJ71</f>
        <v>-4644375</v>
      </c>
      <c r="AK82" s="23" t="n">
        <f aca="false">AK25+AK34-AK71</f>
        <v>-4644375</v>
      </c>
      <c r="AL82" s="23" t="n">
        <f aca="false">AL25+AL34-AL71</f>
        <v>-4644375</v>
      </c>
      <c r="AM82" s="23" t="n">
        <f aca="false">AM25+AM34-AM71</f>
        <v>-4644375</v>
      </c>
      <c r="AN82" s="23" t="n">
        <f aca="false">AN25+AN34-AN71</f>
        <v>-4644375</v>
      </c>
      <c r="AO82" s="23" t="n">
        <f aca="false">AO25+AO34-AO71</f>
        <v>-4644375</v>
      </c>
      <c r="AP82" s="23" t="n">
        <f aca="false">AP25+AP34-AP71</f>
        <v>-4644375</v>
      </c>
      <c r="AQ82" s="23" t="n">
        <f aca="false">AQ25+AQ34-AQ71</f>
        <v>-4644375</v>
      </c>
      <c r="AR82" s="23" t="n">
        <f aca="false">AR25+AR34-AR71</f>
        <v>-4644375</v>
      </c>
      <c r="AS82" s="23" t="n">
        <f aca="false">AS25+AS34-AS71</f>
        <v>-4644375</v>
      </c>
      <c r="AT82" s="23" t="n">
        <f aca="false">AT25+AT34-AT71</f>
        <v>-4644375</v>
      </c>
      <c r="AU82" s="23" t="n">
        <f aca="false">AU25+AU34-AU71</f>
        <v>-4644375</v>
      </c>
      <c r="AV82" s="23" t="n">
        <f aca="false">AV25+AV34-AV71</f>
        <v>-4644375</v>
      </c>
      <c r="AW82" s="23" t="n">
        <f aca="false">AW25+AW34-AW71</f>
        <v>-4644375</v>
      </c>
      <c r="AX82" s="23" t="n">
        <f aca="false">AX25+AX34-AX71</f>
        <v>-4644375</v>
      </c>
      <c r="AY82" s="23" t="n">
        <f aca="false">AY25+AY34-AY71</f>
        <v>-4644375</v>
      </c>
      <c r="AZ82" s="23" t="n">
        <f aca="false">AZ25+AZ34-AZ71</f>
        <v>-4644375</v>
      </c>
      <c r="BA82" s="23" t="n">
        <f aca="false">BA25+BA34-BA71</f>
        <v>-4644375</v>
      </c>
      <c r="BB82" s="23" t="n">
        <f aca="false">BB25+BB34-BB71</f>
        <v>-4644375</v>
      </c>
      <c r="BC82" s="23" t="n">
        <f aca="false">BC25+BC34-BC71</f>
        <v>-4644375</v>
      </c>
      <c r="BD82" s="23" t="n">
        <f aca="false">BD25+BD34-BD71</f>
        <v>-4644375</v>
      </c>
      <c r="BE82" s="23" t="n">
        <f aca="false">BE25+BE34-BE71</f>
        <v>-4644375</v>
      </c>
      <c r="BF82" s="23" t="n">
        <f aca="false">BF25+BF34-BF71</f>
        <v>-4644375</v>
      </c>
      <c r="BG82" s="23" t="n">
        <f aca="false">BG25+BG34-BG71</f>
        <v>-4644375</v>
      </c>
      <c r="BH82" s="23" t="n">
        <f aca="false">BH25+BH34-BH71</f>
        <v>-4644375</v>
      </c>
      <c r="BI82" s="23" t="n">
        <f aca="false">BI25+BI34-BI71</f>
        <v>-4644375</v>
      </c>
      <c r="BJ82" s="23" t="n">
        <f aca="false">BJ25+BJ34-BJ71</f>
        <v>-4644375</v>
      </c>
      <c r="BK82" s="23" t="n">
        <f aca="false">BK25+BK34-BK71</f>
        <v>-4644375</v>
      </c>
      <c r="BL82" s="23" t="n">
        <f aca="false">BL25+BL34-BL71</f>
        <v>-4644375</v>
      </c>
      <c r="BM82" s="23" t="n">
        <f aca="false">BM25+BM34-BM71</f>
        <v>-4644375</v>
      </c>
      <c r="BN82" s="23" t="n">
        <f aca="false">BN25+BN34-BN71</f>
        <v>-4644375</v>
      </c>
      <c r="BO82" s="23" t="n">
        <f aca="false">BO25+BO34-BO71</f>
        <v>-4644375</v>
      </c>
      <c r="BP82" s="23" t="n">
        <f aca="false">BP25+BP34-BP71</f>
        <v>-4644375</v>
      </c>
      <c r="BQ82" s="23" t="n">
        <f aca="false">BQ25+BQ34-BQ71</f>
        <v>-4644375</v>
      </c>
      <c r="BR82" s="23" t="n">
        <f aca="false">BR25+BR34-BR71</f>
        <v>-4644375</v>
      </c>
      <c r="BS82" s="23" t="n">
        <f aca="false">BS25+BS34-BS71</f>
        <v>-4644375</v>
      </c>
      <c r="BT82" s="23" t="n">
        <f aca="false">BT25+BT34-BT71</f>
        <v>-4644375</v>
      </c>
      <c r="BU82" s="23" t="n">
        <f aca="false">BU25+BU34-BU71</f>
        <v>-4644375</v>
      </c>
      <c r="BV82" s="23" t="n">
        <f aca="false">BV25+BV34-BV71</f>
        <v>-4644375</v>
      </c>
      <c r="BW82" s="23" t="n">
        <f aca="false">BW25+BW34-BW71</f>
        <v>-4644375</v>
      </c>
      <c r="BX82" s="23" t="n">
        <f aca="false">BX25+BX34-BX71</f>
        <v>-4644375</v>
      </c>
      <c r="BY82" s="23" t="n">
        <f aca="false">BY25+BY34-BY71</f>
        <v>-4644375</v>
      </c>
      <c r="BZ82" s="23" t="n">
        <f aca="false">BZ25+BZ34-BZ71</f>
        <v>-4644375</v>
      </c>
      <c r="CA82" s="23" t="n">
        <f aca="false">CA25+CA34-CA71</f>
        <v>-4644375</v>
      </c>
      <c r="CB82" s="23" t="n">
        <f aca="false">CB25+CB34-CB71</f>
        <v>-4644375</v>
      </c>
      <c r="CC82" s="23" t="n">
        <f aca="false">CC25+CC34-CC71</f>
        <v>-4644375</v>
      </c>
      <c r="CD82" s="23" t="n">
        <f aca="false">CD25+CD34-CD71</f>
        <v>-4644375</v>
      </c>
      <c r="CE82" s="23" t="n">
        <f aca="false">CE25+CE34-CE71</f>
        <v>-4644375</v>
      </c>
      <c r="CF82" s="23" t="n">
        <f aca="false">CF25+CF34-CF71</f>
        <v>-4644375</v>
      </c>
      <c r="CG82" s="23" t="n">
        <f aca="false">CG25+CG34-CG71</f>
        <v>-4644375</v>
      </c>
      <c r="CH82" s="23" t="n">
        <f aca="false">CH25+CH34-CH71</f>
        <v>-4644375</v>
      </c>
      <c r="CI82" s="23" t="n">
        <f aca="false">CI25+CI34-CI71</f>
        <v>-4644375</v>
      </c>
      <c r="CJ82" s="23" t="n">
        <f aca="false">CJ25+CJ34-CJ71</f>
        <v>-4644375</v>
      </c>
      <c r="CK82" s="23" t="n">
        <f aca="false">CK25+CK34-CK71</f>
        <v>-4644375</v>
      </c>
      <c r="CL82" s="23" t="n">
        <f aca="false">CL25+CL34-CL71</f>
        <v>-4644375</v>
      </c>
      <c r="CM82" s="23" t="n">
        <f aca="false">CM25+CM34-CM71</f>
        <v>-4644375</v>
      </c>
      <c r="CN82" s="23" t="n">
        <f aca="false">CN25+CN34-CN71</f>
        <v>-4644375</v>
      </c>
      <c r="CO82" s="23" t="n">
        <f aca="false">CO25+CO34-CO71</f>
        <v>-4644375</v>
      </c>
      <c r="CP82" s="23" t="n">
        <f aca="false">CP25+CP34-CP71</f>
        <v>-4644375</v>
      </c>
      <c r="CQ82" s="23" t="n">
        <f aca="false">CQ25+CQ34-CQ71</f>
        <v>-4644375</v>
      </c>
      <c r="CR82" s="23" t="n">
        <f aca="false">CR25+CR34-CR71</f>
        <v>-4644375</v>
      </c>
      <c r="CS82" s="23" t="n">
        <f aca="false">CS25+CS34-CS71</f>
        <v>-4644375</v>
      </c>
      <c r="CT82" s="23" t="n">
        <f aca="false">CT25+CT34-CT71</f>
        <v>-4644375</v>
      </c>
      <c r="CU82" s="23" t="n">
        <f aca="false">CU25+CU34-CU71</f>
        <v>-4644375</v>
      </c>
      <c r="CV82" s="23" t="n">
        <f aca="false">CV25+CV34-CV71</f>
        <v>-4644375</v>
      </c>
      <c r="CW82" s="23" t="n">
        <f aca="false">CW25+CW34-CW71</f>
        <v>-4644375</v>
      </c>
      <c r="CX82" s="23" t="n">
        <f aca="false">CX25+CX34-CX71</f>
        <v>-4644375</v>
      </c>
      <c r="CY82" s="23" t="n">
        <f aca="false">CY25+CY34-CY71</f>
        <v>-4644375</v>
      </c>
      <c r="CZ82" s="23" t="n">
        <f aca="false">CZ25+CZ34-CZ71</f>
        <v>-4644375</v>
      </c>
      <c r="DA82" s="23" t="n">
        <f aca="false">DA25+DA34-DA71</f>
        <v>-4644375</v>
      </c>
      <c r="DB82" s="23" t="n">
        <f aca="false">DB25+DB34-DB71</f>
        <v>-4644375</v>
      </c>
      <c r="DC82" s="23" t="n">
        <f aca="false">DC25+DC34-DC71</f>
        <v>-4644375</v>
      </c>
      <c r="DD82" s="23" t="n">
        <f aca="false">DD25+DD34-DD71</f>
        <v>-4644375</v>
      </c>
      <c r="DE82" s="23" t="n">
        <f aca="false">DE25+DE34-DE71</f>
        <v>-4644375</v>
      </c>
      <c r="DF82" s="23" t="n">
        <f aca="false">DF25+DF34-DF71</f>
        <v>-4644375</v>
      </c>
      <c r="DG82" s="23" t="n">
        <f aca="false">DG25+DG34-DG71</f>
        <v>-4644375</v>
      </c>
      <c r="DH82" s="23" t="n">
        <f aca="false">DH25+DH34-DH71</f>
        <v>-5769375</v>
      </c>
      <c r="DI82" s="23" t="n">
        <f aca="false">DI25+DI34-DI71</f>
        <v>-5769375</v>
      </c>
      <c r="DJ82" s="23" t="n">
        <f aca="false">DJ25+DJ34-DJ71</f>
        <v>-5769375</v>
      </c>
      <c r="DK82" s="23" t="n">
        <f aca="false">DK25+DK34-DK71</f>
        <v>-5769375</v>
      </c>
      <c r="DL82" s="23" t="n">
        <f aca="false">DL25+DL34-DL71</f>
        <v>-5769375</v>
      </c>
      <c r="DM82" s="23" t="n">
        <f aca="false">DM25+DM34-DM71</f>
        <v>-5769375</v>
      </c>
      <c r="DN82" s="23" t="n">
        <f aca="false">DN25+DN34-DN71</f>
        <v>-5769375</v>
      </c>
      <c r="DO82" s="23" t="n">
        <f aca="false">DO25+DO34-DO71</f>
        <v>-5769375</v>
      </c>
      <c r="DP82" s="23" t="n">
        <f aca="false">DP25+DP34-DP71</f>
        <v>-5769375</v>
      </c>
      <c r="DQ82" s="23" t="n">
        <f aca="false">DQ25+DQ34-DQ71</f>
        <v>-5769375</v>
      </c>
      <c r="DR82" s="23" t="n">
        <f aca="false">DR25+DR34-DR71</f>
        <v>-5769375</v>
      </c>
      <c r="DS82" s="23" t="n">
        <f aca="false">DS25+DS34-DS71</f>
        <v>-5769375</v>
      </c>
      <c r="DT82" s="23" t="n">
        <f aca="false">DT25+DT34-DT71</f>
        <v>-5769375</v>
      </c>
      <c r="DU82" s="23" t="n">
        <f aca="false">DU25+DU34-DU71</f>
        <v>-5769375</v>
      </c>
      <c r="DV82" s="23" t="n">
        <f aca="false">DV25+DV34-DV71</f>
        <v>-5769375</v>
      </c>
      <c r="DW82" s="23" t="n">
        <f aca="false">DW25+DW34-DW71</f>
        <v>-5769375</v>
      </c>
      <c r="DX82" s="23" t="n">
        <f aca="false">DX25+DX34-DX71</f>
        <v>-5769375</v>
      </c>
      <c r="DY82" s="23" t="n">
        <f aca="false">DY25+DY34-DY71</f>
        <v>-5769375</v>
      </c>
      <c r="DZ82" s="23" t="n">
        <f aca="false">DZ25+DZ34-DZ71</f>
        <v>-5769375</v>
      </c>
      <c r="EA82" s="23" t="n">
        <f aca="false">EA25+EA34-EA71</f>
        <v>-5769375</v>
      </c>
      <c r="EB82" s="23" t="n">
        <f aca="false">EB25+EB34-EB71</f>
        <v>0</v>
      </c>
      <c r="EC82" s="23" t="n">
        <f aca="false">EC25+EC34-EC71</f>
        <v>0</v>
      </c>
      <c r="ED82" s="23" t="n">
        <f aca="false">ED25+ED34-ED71</f>
        <v>0</v>
      </c>
      <c r="EE82" s="23" t="n">
        <f aca="false">EE25+EE34-EE71</f>
        <v>0</v>
      </c>
      <c r="EF82" s="23" t="n">
        <f aca="false">EF25+EF34-EF71</f>
        <v>0</v>
      </c>
      <c r="EG82" s="23" t="n">
        <f aca="false">EG25+EG34-EG71</f>
        <v>0</v>
      </c>
      <c r="EH82" s="23" t="n">
        <f aca="false">EH25+EH34-EH71</f>
        <v>0</v>
      </c>
      <c r="EI82" s="23" t="n">
        <f aca="false">EI25+EI34-EI71</f>
        <v>0</v>
      </c>
      <c r="EJ82" s="23" t="n">
        <f aca="false">EJ25+EJ34-EJ71</f>
        <v>0</v>
      </c>
      <c r="EK82" s="23" t="n">
        <f aca="false">EK25+EK34-EK71</f>
        <v>0</v>
      </c>
      <c r="EL82" s="23" t="n">
        <f aca="false">EL25+EL34-EL71</f>
        <v>0</v>
      </c>
      <c r="EM82" s="23" t="n">
        <f aca="false">EM25+EM34-EM71</f>
        <v>0</v>
      </c>
      <c r="EN82" s="23" t="n">
        <f aca="false">EN25+EN34-EN71</f>
        <v>0</v>
      </c>
      <c r="EO82" s="23" t="n">
        <f aca="false">EO25+EO34-EO71</f>
        <v>0</v>
      </c>
      <c r="EP82" s="23" t="n">
        <f aca="false">EP25+EP34-EP71</f>
        <v>0</v>
      </c>
      <c r="EQ82" s="23" t="n">
        <f aca="false">EQ25+EQ34-EQ71</f>
        <v>0</v>
      </c>
      <c r="ER82" s="23" t="n">
        <f aca="false">ER25+ER34-ER71</f>
        <v>0</v>
      </c>
      <c r="ES82" s="23" t="n">
        <f aca="false">ES25+ES34-ES71</f>
        <v>0</v>
      </c>
      <c r="ET82" s="23" t="n">
        <f aca="false">ET25+ET34-ET71</f>
        <v>0</v>
      </c>
      <c r="EU82" s="23" t="n">
        <f aca="false">EU25+EU34-EU71</f>
        <v>0</v>
      </c>
      <c r="EV82" s="23" t="n">
        <f aca="false">EV25+EV34-EV71</f>
        <v>0</v>
      </c>
      <c r="EW82" s="23" t="n">
        <f aca="false">EW25+EW34-EW71</f>
        <v>0</v>
      </c>
      <c r="EX82" s="23" t="n">
        <f aca="false">EX25+EX34-EX71</f>
        <v>0</v>
      </c>
      <c r="EY82" s="23" t="n">
        <f aca="false">EY25+EY34-EY71</f>
        <v>0</v>
      </c>
      <c r="EZ82" s="23" t="n">
        <f aca="false">EZ25+EZ34-EZ71</f>
        <v>0</v>
      </c>
      <c r="FA82" s="23" t="n">
        <f aca="false">FA25+FA34-FA71</f>
        <v>0</v>
      </c>
      <c r="FB82" s="23" t="n">
        <f aca="false">FB25+FB34-FB71</f>
        <v>0</v>
      </c>
      <c r="FC82" s="23" t="n">
        <f aca="false">FC25+FC34-FC71</f>
        <v>0</v>
      </c>
      <c r="FD82" s="23" t="n">
        <f aca="false">FD25+FD34-FD71</f>
        <v>0</v>
      </c>
      <c r="FE82" s="23" t="n">
        <f aca="false">FE25+FE34-FE71</f>
        <v>0</v>
      </c>
      <c r="FF82" s="23" t="n">
        <f aca="false">FF25+FF34-FF71</f>
        <v>0</v>
      </c>
      <c r="FG82" s="23" t="n">
        <f aca="false">FG25+FG34-FG71</f>
        <v>0</v>
      </c>
      <c r="FH82" s="23" t="n">
        <f aca="false">FH25+FH34-FH71</f>
        <v>0</v>
      </c>
      <c r="FI82" s="23" t="n">
        <f aca="false">FI25+FI34-FI71</f>
        <v>0</v>
      </c>
      <c r="FJ82" s="23" t="n">
        <f aca="false">FJ25+FJ34-FJ71</f>
        <v>0</v>
      </c>
      <c r="FK82" s="23" t="n">
        <f aca="false">FK25+FK34-FK71</f>
        <v>0</v>
      </c>
    </row>
    <row r="83" customFormat="false" ht="15" hidden="false" customHeight="false" outlineLevel="0" collapsed="false">
      <c r="D83" s="21" t="s">
        <v>117</v>
      </c>
      <c r="E83" s="7" t="s">
        <v>28</v>
      </c>
      <c r="F83" s="22" t="n">
        <f aca="false">SUM(H83:FK83)</f>
        <v>-1182375000</v>
      </c>
      <c r="H83" s="23" t="n">
        <f aca="false">-H26+H23+H24+H34+H57+H58-H78</f>
        <v>-51750000</v>
      </c>
      <c r="I83" s="23" t="n">
        <f aca="false">-I26+I23+I24+I34+I57+I58-I78</f>
        <v>-46518750</v>
      </c>
      <c r="J83" s="23" t="n">
        <f aca="false">-J26+J23+J24+J34+J57+J58-J78</f>
        <v>-48037500</v>
      </c>
      <c r="K83" s="23" t="n">
        <f aca="false">-K26+K23+K24+K34+K57+K58-K78</f>
        <v>-49556250</v>
      </c>
      <c r="L83" s="23" t="n">
        <f aca="false">-L26+L23+L24+L34+L57+L58-L78</f>
        <v>-13887500</v>
      </c>
      <c r="M83" s="23" t="n">
        <f aca="false">-M26+M23+M24+M34+M57+M58-M78</f>
        <v>-13786250</v>
      </c>
      <c r="N83" s="23" t="n">
        <f aca="false">-N26+N23+N24+N34+N57+N58-N78</f>
        <v>-13685000</v>
      </c>
      <c r="O83" s="23" t="n">
        <f aca="false">-O26+O23+O24+O34+O57+O58-O78</f>
        <v>-13583750</v>
      </c>
      <c r="P83" s="23" t="n">
        <f aca="false">-P26+P23+P24+P34+P57+P58-P78</f>
        <v>-13482500</v>
      </c>
      <c r="Q83" s="23" t="n">
        <f aca="false">-Q26+Q23+Q24+Q34+Q57+Q58-Q78</f>
        <v>-13381250</v>
      </c>
      <c r="R83" s="23" t="n">
        <f aca="false">-R26+R23+R24+R34+R57+R58-R78</f>
        <v>-13280000</v>
      </c>
      <c r="S83" s="23" t="n">
        <f aca="false">-S26+S23+S24+S34+S57+S58-S78</f>
        <v>-13178750</v>
      </c>
      <c r="T83" s="23" t="n">
        <f aca="false">-T26+T23+T24+T34+T57+T58-T78</f>
        <v>-13077500</v>
      </c>
      <c r="U83" s="23" t="n">
        <f aca="false">-U26+U23+U24+U34+U57+U58-U78</f>
        <v>-12976250</v>
      </c>
      <c r="V83" s="23" t="n">
        <f aca="false">-V26+V23+V24+V34+V57+V58-V78</f>
        <v>-12875000</v>
      </c>
      <c r="W83" s="23" t="n">
        <f aca="false">-W26+W23+W24+W34+W57+W58-W78</f>
        <v>-12773750</v>
      </c>
      <c r="X83" s="23" t="n">
        <f aca="false">-X26+X23+X24+X34+X57+X58-X78</f>
        <v>-12672500</v>
      </c>
      <c r="Y83" s="23" t="n">
        <f aca="false">-Y26+Y23+Y24+Y34+Y57+Y58-Y78</f>
        <v>-12571250</v>
      </c>
      <c r="Z83" s="23" t="n">
        <f aca="false">-Z26+Z23+Z24+Z34+Z57+Z58-Z78</f>
        <v>-12470000</v>
      </c>
      <c r="AA83" s="23" t="n">
        <f aca="false">-AA26+AA23+AA24+AA34+AA57+AA58-AA78</f>
        <v>-12368750</v>
      </c>
      <c r="AB83" s="23" t="n">
        <f aca="false">-AB26+AB23+AB24+AB34+AB57+AB58-AB78</f>
        <v>-12267500</v>
      </c>
      <c r="AC83" s="23" t="n">
        <f aca="false">-AC26+AC23+AC24+AC34+AC57+AC58-AC78</f>
        <v>-12166250</v>
      </c>
      <c r="AD83" s="23" t="n">
        <f aca="false">-AD26+AD23+AD24+AD34+AD57+AD58-AD78</f>
        <v>-12065000</v>
      </c>
      <c r="AE83" s="23" t="n">
        <f aca="false">-AE26+AE23+AE24+AE34+AE57+AE58-AE78</f>
        <v>-11963750</v>
      </c>
      <c r="AF83" s="23" t="n">
        <f aca="false">-AF26+AF23+AF24+AF34+AF57+AF58-AF78</f>
        <v>-11862500</v>
      </c>
      <c r="AG83" s="23" t="n">
        <f aca="false">-AG26+AG23+AG24+AG34+AG57+AG58-AG78</f>
        <v>-11761250</v>
      </c>
      <c r="AH83" s="23" t="n">
        <f aca="false">-AH26+AH23+AH24+AH34+AH57+AH58-AH78</f>
        <v>-11660000</v>
      </c>
      <c r="AI83" s="23" t="n">
        <f aca="false">-AI26+AI23+AI24+AI34+AI57+AI58-AI78</f>
        <v>-11781875</v>
      </c>
      <c r="AJ83" s="23" t="n">
        <f aca="false">-AJ26+AJ23+AJ24+AJ34+AJ57+AJ58-AJ78</f>
        <v>-11878125</v>
      </c>
      <c r="AK83" s="23" t="n">
        <f aca="false">-AK26+AK23+AK24+AK34+AK57+AK58-AK78</f>
        <v>-11802187.5</v>
      </c>
      <c r="AL83" s="23" t="n">
        <f aca="false">-AL26+AL23+AL24+AL34+AL57+AL58-AL78</f>
        <v>-11726250</v>
      </c>
      <c r="AM83" s="23" t="n">
        <f aca="false">-AM26+AM23+AM24+AM34+AM57+AM58-AM78</f>
        <v>-11650312.5</v>
      </c>
      <c r="AN83" s="23" t="n">
        <f aca="false">-AN26+AN23+AN24+AN34+AN57+AN58-AN78</f>
        <v>-11574375</v>
      </c>
      <c r="AO83" s="23" t="n">
        <f aca="false">-AO26+AO23+AO24+AO34+AO57+AO58-AO78</f>
        <v>-11498437.5</v>
      </c>
      <c r="AP83" s="23" t="n">
        <f aca="false">-AP26+AP23+AP24+AP34+AP57+AP58-AP78</f>
        <v>-11422500</v>
      </c>
      <c r="AQ83" s="23" t="n">
        <f aca="false">-AQ26+AQ23+AQ24+AQ34+AQ57+AQ58-AQ78</f>
        <v>-11346562.5</v>
      </c>
      <c r="AR83" s="23" t="n">
        <f aca="false">-AR26+AR23+AR24+AR34+AR57+AR58-AR78</f>
        <v>-11270625</v>
      </c>
      <c r="AS83" s="23" t="n">
        <f aca="false">-AS26+AS23+AS24+AS34+AS57+AS58-AS78</f>
        <v>-11194687.5</v>
      </c>
      <c r="AT83" s="23" t="n">
        <f aca="false">-AT26+AT23+AT24+AT34+AT57+AT58-AT78</f>
        <v>-11118750</v>
      </c>
      <c r="AU83" s="23" t="n">
        <f aca="false">-AU26+AU23+AU24+AU34+AU57+AU58-AU78</f>
        <v>-11042812.5</v>
      </c>
      <c r="AV83" s="23" t="n">
        <f aca="false">-AV26+AV23+AV24+AV34+AV57+AV58-AV78</f>
        <v>-10966875</v>
      </c>
      <c r="AW83" s="23" t="n">
        <f aca="false">-AW26+AW23+AW24+AW34+AW57+AW58-AW78</f>
        <v>-10890937.5</v>
      </c>
      <c r="AX83" s="23" t="n">
        <f aca="false">-AX26+AX23+AX24+AX34+AX57+AX58-AX78</f>
        <v>-10815000</v>
      </c>
      <c r="AY83" s="23" t="n">
        <f aca="false">-AY26+AY23+AY24+AY34+AY57+AY58-AY78</f>
        <v>-10739062.5</v>
      </c>
      <c r="AZ83" s="23" t="n">
        <f aca="false">-AZ26+AZ23+AZ24+AZ34+AZ57+AZ58-AZ78</f>
        <v>-10663125</v>
      </c>
      <c r="BA83" s="23" t="n">
        <f aca="false">-BA26+BA23+BA24+BA34+BA57+BA58-BA78</f>
        <v>-10587187.5</v>
      </c>
      <c r="BB83" s="23" t="n">
        <f aca="false">-BB26+BB23+BB24+BB34+BB57+BB58-BB78</f>
        <v>-10511250</v>
      </c>
      <c r="BC83" s="23" t="n">
        <f aca="false">-BC26+BC23+BC24+BC34+BC57+BC58-BC78</f>
        <v>-10435312.5</v>
      </c>
      <c r="BD83" s="23" t="n">
        <f aca="false">-BD26+BD23+BD24+BD34+BD57+BD58-BD78</f>
        <v>-10359375</v>
      </c>
      <c r="BE83" s="23" t="n">
        <f aca="false">-BE26+BE23+BE24+BE34+BE57+BE58-BE78</f>
        <v>-10283437.5</v>
      </c>
      <c r="BF83" s="23" t="n">
        <f aca="false">-BF26+BF23+BF24+BF34+BF57+BF58-BF78</f>
        <v>-10207500</v>
      </c>
      <c r="BG83" s="23" t="n">
        <f aca="false">-BG26+BG23+BG24+BG34+BG57+BG58-BG78</f>
        <v>-10131562.5</v>
      </c>
      <c r="BH83" s="23" t="n">
        <f aca="false">-BH26+BH23+BH24+BH34+BH57+BH58-BH78</f>
        <v>-10055625</v>
      </c>
      <c r="BI83" s="23" t="n">
        <f aca="false">-BI26+BI23+BI24+BI34+BI57+BI58-BI78</f>
        <v>-9979687.5</v>
      </c>
      <c r="BJ83" s="23" t="n">
        <f aca="false">-BJ26+BJ23+BJ24+BJ34+BJ57+BJ58-BJ78</f>
        <v>-9903750</v>
      </c>
      <c r="BK83" s="23" t="n">
        <f aca="false">-BK26+BK23+BK24+BK34+BK57+BK58-BK78</f>
        <v>-9827812.5</v>
      </c>
      <c r="BL83" s="23" t="n">
        <f aca="false">-BL26+BL23+BL24+BL34+BL57+BL58-BL78</f>
        <v>-9751875</v>
      </c>
      <c r="BM83" s="23" t="n">
        <f aca="false">-BM26+BM23+BM24+BM34+BM57+BM58-BM78</f>
        <v>-9675937.5</v>
      </c>
      <c r="BN83" s="23" t="n">
        <f aca="false">-BN26+BN23+BN24+BN34+BN57+BN58-BN78</f>
        <v>-9600000</v>
      </c>
      <c r="BO83" s="23" t="n">
        <f aca="false">-BO26+BO23+BO24+BO34+BO57+BO58-BO78</f>
        <v>-9524062.5</v>
      </c>
      <c r="BP83" s="23" t="n">
        <f aca="false">-BP26+BP23+BP24+BP34+BP57+BP58-BP78</f>
        <v>-9448125</v>
      </c>
      <c r="BQ83" s="23" t="n">
        <f aca="false">-BQ26+BQ23+BQ24+BQ34+BQ57+BQ58-BQ78</f>
        <v>-9372187.5</v>
      </c>
      <c r="BR83" s="23" t="n">
        <f aca="false">-BR26+BR23+BR24+BR34+BR57+BR58-BR78</f>
        <v>-9296250</v>
      </c>
      <c r="BS83" s="23" t="n">
        <f aca="false">-BS26+BS23+BS24+BS34+BS57+BS58-BS78</f>
        <v>-9220312.5</v>
      </c>
      <c r="BT83" s="23" t="n">
        <f aca="false">-BT26+BT23+BT24+BT34+BT57+BT58-BT78</f>
        <v>-4644375</v>
      </c>
      <c r="BU83" s="23" t="n">
        <f aca="false">-BU26+BU23+BU24+BU34+BU57+BU58-BU78</f>
        <v>-4644375</v>
      </c>
      <c r="BV83" s="23" t="n">
        <f aca="false">-BV26+BV23+BV24+BV34+BV57+BV58-BV78</f>
        <v>-4644375</v>
      </c>
      <c r="BW83" s="23" t="n">
        <f aca="false">-BW26+BW23+BW24+BW34+BW57+BW58-BW78</f>
        <v>-4644375</v>
      </c>
      <c r="BX83" s="23" t="n">
        <f aca="false">-BX26+BX23+BX24+BX34+BX57+BX58-BX78</f>
        <v>-4644375</v>
      </c>
      <c r="BY83" s="23" t="n">
        <f aca="false">-BY26+BY23+BY24+BY34+BY57+BY58-BY78</f>
        <v>-4644375</v>
      </c>
      <c r="BZ83" s="23" t="n">
        <f aca="false">-BZ26+BZ23+BZ24+BZ34+BZ57+BZ58-BZ78</f>
        <v>-4644375</v>
      </c>
      <c r="CA83" s="23" t="n">
        <f aca="false">-CA26+CA23+CA24+CA34+CA57+CA58-CA78</f>
        <v>-4644375</v>
      </c>
      <c r="CB83" s="23" t="n">
        <f aca="false">-CB26+CB23+CB24+CB34+CB57+CB58-CB78</f>
        <v>-4644375</v>
      </c>
      <c r="CC83" s="23" t="n">
        <f aca="false">-CC26+CC23+CC24+CC34+CC57+CC58-CC78</f>
        <v>-4644375</v>
      </c>
      <c r="CD83" s="23" t="n">
        <f aca="false">-CD26+CD23+CD24+CD34+CD57+CD58-CD78</f>
        <v>-4644375</v>
      </c>
      <c r="CE83" s="23" t="n">
        <f aca="false">-CE26+CE23+CE24+CE34+CE57+CE58-CE78</f>
        <v>-4644375</v>
      </c>
      <c r="CF83" s="23" t="n">
        <f aca="false">-CF26+CF23+CF24+CF34+CF57+CF58-CF78</f>
        <v>-4644375</v>
      </c>
      <c r="CG83" s="23" t="n">
        <f aca="false">-CG26+CG23+CG24+CG34+CG57+CG58-CG78</f>
        <v>-4644375</v>
      </c>
      <c r="CH83" s="23" t="n">
        <f aca="false">-CH26+CH23+CH24+CH34+CH57+CH58-CH78</f>
        <v>-4644375</v>
      </c>
      <c r="CI83" s="23" t="n">
        <f aca="false">-CI26+CI23+CI24+CI34+CI57+CI58-CI78</f>
        <v>-4644375</v>
      </c>
      <c r="CJ83" s="23" t="n">
        <f aca="false">-CJ26+CJ23+CJ24+CJ34+CJ57+CJ58-CJ78</f>
        <v>-4644375</v>
      </c>
      <c r="CK83" s="23" t="n">
        <f aca="false">-CK26+CK23+CK24+CK34+CK57+CK58-CK78</f>
        <v>-4644375</v>
      </c>
      <c r="CL83" s="23" t="n">
        <f aca="false">-CL26+CL23+CL24+CL34+CL57+CL58-CL78</f>
        <v>-4644375</v>
      </c>
      <c r="CM83" s="23" t="n">
        <f aca="false">-CM26+CM23+CM24+CM34+CM57+CM58-CM78</f>
        <v>-4644375</v>
      </c>
      <c r="CN83" s="23" t="n">
        <f aca="false">-CN26+CN23+CN24+CN34+CN57+CN58-CN78</f>
        <v>-4644375</v>
      </c>
      <c r="CO83" s="23" t="n">
        <f aca="false">-CO26+CO23+CO24+CO34+CO57+CO58-CO78</f>
        <v>-4644375</v>
      </c>
      <c r="CP83" s="23" t="n">
        <f aca="false">-CP26+CP23+CP24+CP34+CP57+CP58-CP78</f>
        <v>-4644375</v>
      </c>
      <c r="CQ83" s="23" t="n">
        <f aca="false">-CQ26+CQ23+CQ24+CQ34+CQ57+CQ58-CQ78</f>
        <v>-4644375</v>
      </c>
      <c r="CR83" s="23" t="n">
        <f aca="false">-CR26+CR23+CR24+CR34+CR57+CR58-CR78</f>
        <v>-4644375</v>
      </c>
      <c r="CS83" s="23" t="n">
        <f aca="false">-CS26+CS23+CS24+CS34+CS57+CS58-CS78</f>
        <v>-4644375</v>
      </c>
      <c r="CT83" s="23" t="n">
        <f aca="false">-CT26+CT23+CT24+CT34+CT57+CT58-CT78</f>
        <v>-4644375</v>
      </c>
      <c r="CU83" s="23" t="n">
        <f aca="false">-CU26+CU23+CU24+CU34+CU57+CU58-CU78</f>
        <v>-4644375</v>
      </c>
      <c r="CV83" s="23" t="n">
        <f aca="false">-CV26+CV23+CV24+CV34+CV57+CV58-CV78</f>
        <v>-4644375</v>
      </c>
      <c r="CW83" s="23" t="n">
        <f aca="false">-CW26+CW23+CW24+CW34+CW57+CW58-CW78</f>
        <v>-4644375</v>
      </c>
      <c r="CX83" s="23" t="n">
        <f aca="false">-CX26+CX23+CX24+CX34+CX57+CX58-CX78</f>
        <v>-4644375</v>
      </c>
      <c r="CY83" s="23" t="n">
        <f aca="false">-CY26+CY23+CY24+CY34+CY57+CY58-CY78</f>
        <v>-4644375</v>
      </c>
      <c r="CZ83" s="23" t="n">
        <f aca="false">-CZ26+CZ23+CZ24+CZ34+CZ57+CZ58-CZ78</f>
        <v>-4644375</v>
      </c>
      <c r="DA83" s="23" t="n">
        <f aca="false">-DA26+DA23+DA24+DA34+DA57+DA58-DA78</f>
        <v>-4644375</v>
      </c>
      <c r="DB83" s="23" t="n">
        <f aca="false">-DB26+DB23+DB24+DB34+DB57+DB58-DB78</f>
        <v>-4644375</v>
      </c>
      <c r="DC83" s="23" t="n">
        <f aca="false">-DC26+DC23+DC24+DC34+DC57+DC58-DC78</f>
        <v>-4644375</v>
      </c>
      <c r="DD83" s="23" t="n">
        <f aca="false">-DD26+DD23+DD24+DD34+DD57+DD58-DD78</f>
        <v>-4644375</v>
      </c>
      <c r="DE83" s="23" t="n">
        <f aca="false">-DE26+DE23+DE24+DE34+DE57+DE58-DE78</f>
        <v>-4644375</v>
      </c>
      <c r="DF83" s="23" t="n">
        <f aca="false">-DF26+DF23+DF24+DF34+DF57+DF58-DF78</f>
        <v>-4644375</v>
      </c>
      <c r="DG83" s="23" t="n">
        <f aca="false">-DG26+DG23+DG24+DG34+DG57+DG58-DG78</f>
        <v>-4644375</v>
      </c>
      <c r="DH83" s="23" t="n">
        <f aca="false">-DH26+DH23+DH24+DH34+DH57+DH58-DH78</f>
        <v>-5769375</v>
      </c>
      <c r="DI83" s="23" t="n">
        <f aca="false">-DI26+DI23+DI24+DI34+DI57+DI58-DI78</f>
        <v>-5769375</v>
      </c>
      <c r="DJ83" s="23" t="n">
        <f aca="false">-DJ26+DJ23+DJ24+DJ34+DJ57+DJ58-DJ78</f>
        <v>-5769375</v>
      </c>
      <c r="DK83" s="23" t="n">
        <f aca="false">-DK26+DK23+DK24+DK34+DK57+DK58-DK78</f>
        <v>-5769375</v>
      </c>
      <c r="DL83" s="23" t="n">
        <f aca="false">-DL26+DL23+DL24+DL34+DL57+DL58-DL78</f>
        <v>-5769375</v>
      </c>
      <c r="DM83" s="23" t="n">
        <f aca="false">-DM26+DM23+DM24+DM34+DM57+DM58-DM78</f>
        <v>-5769375</v>
      </c>
      <c r="DN83" s="23" t="n">
        <f aca="false">-DN26+DN23+DN24+DN34+DN57+DN58-DN78</f>
        <v>-5769375</v>
      </c>
      <c r="DO83" s="23" t="n">
        <f aca="false">-DO26+DO23+DO24+DO34+DO57+DO58-DO78</f>
        <v>-5769375</v>
      </c>
      <c r="DP83" s="23" t="n">
        <f aca="false">-DP26+DP23+DP24+DP34+DP57+DP58-DP78</f>
        <v>-5769375</v>
      </c>
      <c r="DQ83" s="23" t="n">
        <f aca="false">-DQ26+DQ23+DQ24+DQ34+DQ57+DQ58-DQ78</f>
        <v>-5769375</v>
      </c>
      <c r="DR83" s="23" t="n">
        <f aca="false">-DR26+DR23+DR24+DR34+DR57+DR58-DR78</f>
        <v>-5769375</v>
      </c>
      <c r="DS83" s="23" t="n">
        <f aca="false">-DS26+DS23+DS24+DS34+DS57+DS58-DS78</f>
        <v>-5769375</v>
      </c>
      <c r="DT83" s="23" t="n">
        <f aca="false">-DT26+DT23+DT24+DT34+DT57+DT58-DT78</f>
        <v>-5769375</v>
      </c>
      <c r="DU83" s="23" t="n">
        <f aca="false">-DU26+DU23+DU24+DU34+DU57+DU58-DU78</f>
        <v>-5769375</v>
      </c>
      <c r="DV83" s="23" t="n">
        <f aca="false">-DV26+DV23+DV24+DV34+DV57+DV58-DV78</f>
        <v>-5769375</v>
      </c>
      <c r="DW83" s="23" t="n">
        <f aca="false">-DW26+DW23+DW24+DW34+DW57+DW58-DW78</f>
        <v>-5769375</v>
      </c>
      <c r="DX83" s="23" t="n">
        <f aca="false">-DX26+DX23+DX24+DX34+DX57+DX58-DX78</f>
        <v>-5769375</v>
      </c>
      <c r="DY83" s="23" t="n">
        <f aca="false">-DY26+DY23+DY24+DY34+DY57+DY58-DY78</f>
        <v>-5769375</v>
      </c>
      <c r="DZ83" s="23" t="n">
        <f aca="false">-DZ26+DZ23+DZ24+DZ34+DZ57+DZ58-DZ78</f>
        <v>-5769375</v>
      </c>
      <c r="EA83" s="23" t="n">
        <f aca="false">-EA26+EA23+EA24+EA34+EA57+EA58-EA78</f>
        <v>-5769375</v>
      </c>
      <c r="EB83" s="23" t="n">
        <f aca="false">-EB26+EB23+EB24+EB34+EB57+EB58-EB78</f>
        <v>0</v>
      </c>
      <c r="EC83" s="23" t="n">
        <f aca="false">-EC26+EC23+EC24+EC34+EC57+EC58-EC78</f>
        <v>0</v>
      </c>
      <c r="ED83" s="23" t="n">
        <f aca="false">-ED26+ED23+ED24+ED34+ED57+ED58-ED78</f>
        <v>0</v>
      </c>
      <c r="EE83" s="23" t="n">
        <f aca="false">-EE26+EE23+EE24+EE34+EE57+EE58-EE78</f>
        <v>0</v>
      </c>
      <c r="EF83" s="23" t="n">
        <f aca="false">-EF26+EF23+EF24+EF34+EF57+EF58-EF78</f>
        <v>0</v>
      </c>
      <c r="EG83" s="23" t="n">
        <f aca="false">-EG26+EG23+EG24+EG34+EG57+EG58-EG78</f>
        <v>0</v>
      </c>
      <c r="EH83" s="23" t="n">
        <f aca="false">-EH26+EH23+EH24+EH34+EH57+EH58-EH78</f>
        <v>0</v>
      </c>
      <c r="EI83" s="23" t="n">
        <f aca="false">-EI26+EI23+EI24+EI34+EI57+EI58-EI78</f>
        <v>0</v>
      </c>
      <c r="EJ83" s="23" t="n">
        <f aca="false">-EJ26+EJ23+EJ24+EJ34+EJ57+EJ58-EJ78</f>
        <v>0</v>
      </c>
      <c r="EK83" s="23" t="n">
        <f aca="false">-EK26+EK23+EK24+EK34+EK57+EK58-EK78</f>
        <v>0</v>
      </c>
      <c r="EL83" s="23" t="n">
        <f aca="false">-EL26+EL23+EL24+EL34+EL57+EL58-EL78</f>
        <v>0</v>
      </c>
      <c r="EM83" s="23" t="n">
        <f aca="false">-EM26+EM23+EM24+EM34+EM57+EM58-EM78</f>
        <v>0</v>
      </c>
      <c r="EN83" s="23" t="n">
        <f aca="false">-EN26+EN23+EN24+EN34+EN57+EN58-EN78</f>
        <v>0</v>
      </c>
      <c r="EO83" s="23" t="n">
        <f aca="false">-EO26+EO23+EO24+EO34+EO57+EO58-EO78</f>
        <v>0</v>
      </c>
      <c r="EP83" s="23" t="n">
        <f aca="false">-EP26+EP23+EP24+EP34+EP57+EP58-EP78</f>
        <v>0</v>
      </c>
      <c r="EQ83" s="23" t="n">
        <f aca="false">-EQ26+EQ23+EQ24+EQ34+EQ57+EQ58-EQ78</f>
        <v>0</v>
      </c>
      <c r="ER83" s="23" t="n">
        <f aca="false">-ER26+ER23+ER24+ER34+ER57+ER58-ER78</f>
        <v>0</v>
      </c>
      <c r="ES83" s="23" t="n">
        <f aca="false">-ES26+ES23+ES24+ES34+ES57+ES58-ES78</f>
        <v>0</v>
      </c>
      <c r="ET83" s="23" t="n">
        <f aca="false">-ET26+ET23+ET24+ET34+ET57+ET58-ET78</f>
        <v>0</v>
      </c>
      <c r="EU83" s="23" t="n">
        <f aca="false">-EU26+EU23+EU24+EU34+EU57+EU58-EU78</f>
        <v>0</v>
      </c>
      <c r="EV83" s="23" t="n">
        <f aca="false">-EV26+EV23+EV24+EV34+EV57+EV58-EV78</f>
        <v>0</v>
      </c>
      <c r="EW83" s="23" t="n">
        <f aca="false">-EW26+EW23+EW24+EW34+EW57+EW58-EW78</f>
        <v>0</v>
      </c>
      <c r="EX83" s="23" t="n">
        <f aca="false">-EX26+EX23+EX24+EX34+EX57+EX58-EX78</f>
        <v>0</v>
      </c>
      <c r="EY83" s="23" t="n">
        <f aca="false">-EY26+EY23+EY24+EY34+EY57+EY58-EY78</f>
        <v>0</v>
      </c>
      <c r="EZ83" s="23" t="n">
        <f aca="false">-EZ26+EZ23+EZ24+EZ34+EZ57+EZ58-EZ78</f>
        <v>0</v>
      </c>
      <c r="FA83" s="23" t="n">
        <f aca="false">-FA26+FA23+FA24+FA34+FA57+FA58-FA78</f>
        <v>0</v>
      </c>
      <c r="FB83" s="23" t="n">
        <f aca="false">-FB26+FB23+FB24+FB34+FB57+FB58-FB78</f>
        <v>0</v>
      </c>
      <c r="FC83" s="23" t="n">
        <f aca="false">-FC26+FC23+FC24+FC34+FC57+FC58-FC78</f>
        <v>0</v>
      </c>
      <c r="FD83" s="23" t="n">
        <f aca="false">-FD26+FD23+FD24+FD34+FD57+FD58-FD78</f>
        <v>0</v>
      </c>
      <c r="FE83" s="23" t="n">
        <f aca="false">-FE26+FE23+FE24+FE34+FE57+FE58-FE78</f>
        <v>0</v>
      </c>
      <c r="FF83" s="23" t="n">
        <f aca="false">-FF26+FF23+FF24+FF34+FF57+FF58-FF78</f>
        <v>0</v>
      </c>
      <c r="FG83" s="23" t="n">
        <f aca="false">-FG26+FG23+FG24+FG34+FG57+FG58-FG78</f>
        <v>0</v>
      </c>
      <c r="FH83" s="23" t="n">
        <f aca="false">-FH26+FH23+FH24+FH34+FH57+FH58-FH78</f>
        <v>0</v>
      </c>
      <c r="FI83" s="23" t="n">
        <f aca="false">-FI26+FI23+FI24+FI34+FI57+FI58-FI78</f>
        <v>0</v>
      </c>
      <c r="FJ83" s="23" t="n">
        <f aca="false">-FJ26+FJ23+FJ24+FJ34+FJ57+FJ58-FJ78</f>
        <v>0</v>
      </c>
      <c r="FK83" s="23" t="n">
        <f aca="false">-FK26+FK23+FK24+FK34+FK57+FK58-FK78</f>
        <v>0</v>
      </c>
    </row>
    <row r="84" customFormat="false" ht="15" hidden="false" customHeight="true" outlineLevel="0" collapsed="false">
      <c r="D84" s="21"/>
      <c r="E84" s="7"/>
      <c r="F84" s="27"/>
    </row>
    <row r="85" customFormat="false" ht="15" hidden="false" customHeight="true" outlineLevel="0" collapsed="false">
      <c r="D85" s="21"/>
      <c r="E85" s="7"/>
      <c r="F85" s="27"/>
    </row>
    <row r="86" customFormat="false" ht="15" hidden="false" customHeight="true" outlineLevel="0" collapsed="false">
      <c r="D86" s="3" t="s">
        <v>118</v>
      </c>
      <c r="E86" s="7"/>
      <c r="F86" s="28"/>
    </row>
    <row r="87" customFormat="false" ht="15" hidden="false" customHeight="true" outlineLevel="0" collapsed="false">
      <c r="D87" s="21"/>
      <c r="E87" s="7"/>
      <c r="F87" s="28"/>
    </row>
    <row r="88" customFormat="false" ht="15" hidden="false" customHeight="true" outlineLevel="0" collapsed="false">
      <c r="D88" s="21" t="s">
        <v>119</v>
      </c>
      <c r="E88" s="7" t="s">
        <v>14</v>
      </c>
      <c r="F88" s="27" t="n">
        <f aca="false">XIRR(H47:FK47,H15:FK15)</f>
        <v>0.0627559988713801</v>
      </c>
    </row>
    <row r="89" customFormat="false" ht="15" hidden="false" customHeight="true" outlineLevel="0" collapsed="false">
      <c r="D89" s="21" t="s">
        <v>120</v>
      </c>
      <c r="E89" s="7" t="s">
        <v>14</v>
      </c>
      <c r="F89" s="27" t="n">
        <f aca="false">XIRR(H48:FK48,H15:FK15)</f>
        <v>0.0622547257344497</v>
      </c>
    </row>
    <row r="90" customFormat="false" ht="15" hidden="false" customHeight="true" outlineLevel="0" collapsed="false">
      <c r="D90" s="21" t="s">
        <v>121</v>
      </c>
      <c r="E90" s="7" t="s">
        <v>90</v>
      </c>
      <c r="F90" s="28" t="n">
        <f aca="false">AVERAGE(H43:FK43)</f>
        <v>1.28340263749759</v>
      </c>
    </row>
    <row r="91" customFormat="false" ht="15" hidden="false" customHeight="true" outlineLevel="0" collapsed="false">
      <c r="D91" s="21" t="s">
        <v>122</v>
      </c>
      <c r="E91" s="7" t="s">
        <v>90</v>
      </c>
      <c r="F91" s="28" t="n">
        <f aca="false">MIN(H43:FK43)</f>
        <v>0.929314420803783</v>
      </c>
    </row>
    <row r="92" customFormat="false" ht="15" hidden="false" customHeight="true" outlineLevel="0" collapsed="false">
      <c r="D92" s="21" t="s">
        <v>123</v>
      </c>
      <c r="E92" s="7" t="s">
        <v>124</v>
      </c>
      <c r="F92" s="29" t="n">
        <f aca="false">-XNPV(ProjectHurdleRate,H82:FK82,H15:FK15)/XNPV(ProjectHurdleRate,H22:FK22,H15:FK15)</f>
        <v>2660.73169540103</v>
      </c>
    </row>
    <row r="93" customFormat="false" ht="15" hidden="false" customHeight="false" outlineLevel="0" collapsed="false">
      <c r="D93" s="21" t="s">
        <v>125</v>
      </c>
      <c r="E93" s="7" t="s">
        <v>124</v>
      </c>
      <c r="F93" s="29" t="n">
        <f aca="false">-XNPV(EquityHurdleRate,H83:FK83,H15:FK15)/XNPV(EquityHurdleRate,H22:FK22,H15:FK15)</f>
        <v>3035.91758970374</v>
      </c>
    </row>
    <row r="94" customFormat="false" ht="15" hidden="false" customHeight="false" outlineLevel="0" collapsed="false">
      <c r="D94" s="21" t="s">
        <v>126</v>
      </c>
      <c r="E94" s="7" t="s">
        <v>124</v>
      </c>
      <c r="F94" s="29" t="n">
        <f aca="false">XNPV(ProjectHurdleRate,H30:FK30,H15:FK15)/XNPV(ProjectHurdleRate,H22:FK22,H15:FK15)</f>
        <v>3000</v>
      </c>
    </row>
    <row r="95" customFormat="false" ht="15" hidden="false" customHeight="false" outlineLevel="0" collapsed="false">
      <c r="D95" s="21" t="s">
        <v>127</v>
      </c>
      <c r="E95" s="7" t="s">
        <v>28</v>
      </c>
      <c r="F95" s="29" t="n">
        <f aca="false">XNPV(EquityHurdleRate,H48:FK48,H15:FK15)</f>
        <v>7085476.04007126</v>
      </c>
    </row>
    <row r="96" customFormat="false" ht="15" hidden="false" customHeight="false" outlineLevel="0" collapsed="false">
      <c r="D96" s="21" t="s">
        <v>128</v>
      </c>
      <c r="E96" s="7" t="s">
        <v>28</v>
      </c>
      <c r="F96" s="29" t="n">
        <f aca="false">XNPV(ProjectHurdleRate,H47:FK47,H15:FK15)</f>
        <v>95207812.1280351</v>
      </c>
    </row>
  </sheetData>
  <conditionalFormatting sqref="H16:FK16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conditionalFormatting sqref="H17:FK17">
    <cfRule type="cellIs" priority="4" operator="equal" aboveAverage="0" equalAverage="0" bottom="0" percent="0" rank="0" text="" dxfId="0">
      <formula>1</formula>
    </cfRule>
    <cfRule type="cellIs" priority="5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2026-07-15T09:16:22Z</dcterms:created>
  <dc:creator>openpyxl</dc:creator>
  <dc:description/>
  <dc:language>en-US</dc:language>
  <cp:lastModifiedBy/>
  <dcterms:modified xsi:type="dcterms:W3CDTF">2026-07-16T05:00:30Z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